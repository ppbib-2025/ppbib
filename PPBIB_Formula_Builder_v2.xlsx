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6384" windowHeight="8192" tabRatio="500" firstSheet="0" activeTab="2" autoFilterDateGrouping="1"/>
  </bookViews>
  <sheets>
    <sheet name="Formula Builder" sheetId="1" state="visible" r:id="rId1"/>
    <sheet name="Referensi Bahan Baku" sheetId="2" state="visible" r:id="rId2"/>
    <sheet name="Perbandingan Formula" sheetId="3" state="visible" r:id="rId3"/>
  </sheets>
  <definedNames/>
  <calcPr calcId="191028" fullCalcOnLoad="1" iterateDelta="0.0001"/>
</workbook>
</file>

<file path=xl/styles.xml><?xml version="1.0" encoding="utf-8"?>
<styleSheet xmlns="http://schemas.openxmlformats.org/spreadsheetml/2006/main">
  <numFmts count="1">
    <numFmt numFmtId="164" formatCode="0.0"/>
  </numFmts>
  <fonts count="25">
    <font>
      <name val="Calibri"/>
      <charset val="1"/>
      <family val="2"/>
      <color theme="1"/>
      <sz val="11"/>
    </font>
    <font>
      <name val="Arial"/>
      <charset val="1"/>
      <b val="1"/>
      <color rgb="FFFFFFFF"/>
      <sz val="16"/>
    </font>
    <font>
      <name val="Arial"/>
      <charset val="1"/>
      <i val="1"/>
      <color rgb="FFA8C8E8"/>
      <sz val="10"/>
    </font>
    <font>
      <name val="Arial"/>
      <charset val="1"/>
      <b val="1"/>
      <color rgb="FFFFFFFF"/>
      <sz val="9"/>
    </font>
    <font>
      <name val="Arial"/>
      <charset val="1"/>
      <i val="1"/>
      <color rgb="FF4B5563"/>
      <sz val="8"/>
    </font>
    <font>
      <name val="Arial"/>
      <charset val="1"/>
      <color rgb="FF1F2937"/>
      <sz val="10"/>
    </font>
    <font>
      <name val="Arial"/>
      <charset val="1"/>
      <b val="1"/>
      <color rgb="FF1F2937"/>
      <sz val="10"/>
    </font>
    <font>
      <name val="Arial"/>
      <charset val="1"/>
      <b val="1"/>
      <color rgb="FFB85C00"/>
      <sz val="10"/>
    </font>
    <font>
      <name val="Arial"/>
      <charset val="1"/>
      <b val="1"/>
      <color rgb="FF1A6B3A"/>
      <sz val="10"/>
    </font>
    <font>
      <name val="Arial"/>
      <charset val="1"/>
      <color rgb="FF1A6B3A"/>
      <sz val="10"/>
    </font>
    <font>
      <name val="Arial"/>
      <charset val="1"/>
      <color rgb="FFCCCCCC"/>
      <sz val="10"/>
    </font>
    <font>
      <name val="Arial"/>
      <charset val="1"/>
      <b val="1"/>
      <color rgb="FFFFFFFF"/>
      <sz val="10"/>
    </font>
    <font>
      <name val="Arial"/>
      <charset val="1"/>
      <b val="1"/>
      <color rgb="FFFFFFFF"/>
      <sz val="11"/>
    </font>
    <font>
      <name val="Arial"/>
      <charset val="1"/>
      <b val="1"/>
      <color rgb="FF374151"/>
      <sz val="10"/>
    </font>
    <font>
      <name val="Arial"/>
      <charset val="1"/>
      <b val="1"/>
      <color rgb="FF2E8B57"/>
      <sz val="10"/>
    </font>
    <font>
      <name val="Arial"/>
      <charset val="1"/>
      <b val="1"/>
      <color rgb="FFE87A1E"/>
      <sz val="10"/>
    </font>
    <font>
      <name val="Arial"/>
      <charset val="1"/>
      <i val="1"/>
      <color rgb="FF1A6B3A"/>
      <sz val="9"/>
    </font>
    <font>
      <name val="Arial"/>
      <charset val="1"/>
      <b val="1"/>
      <color rgb="FFFFFFFF"/>
      <sz val="14"/>
    </font>
    <font>
      <name val="Arial"/>
      <charset val="1"/>
      <i val="1"/>
      <color rgb="FFA8C8E8"/>
      <sz val="9"/>
    </font>
    <font>
      <name val="Arial"/>
      <charset val="1"/>
      <b val="1"/>
      <color rgb="FF1F2937"/>
      <sz val="9"/>
    </font>
    <font>
      <name val="Calibri"/>
      <b val="1"/>
      <color rgb="FFFFFFFF"/>
      <sz val="11"/>
    </font>
    <font>
      <name val="Calibri"/>
      <color rgb="FFFFFFFF"/>
      <sz val="10"/>
    </font>
    <font>
      <name val="Calibri"/>
      <color rgb="FF1A1A2E"/>
      <sz val="11"/>
    </font>
    <font>
      <name val="Calibri"/>
      <b val="1"/>
      <color rgb="FFFFFFFF"/>
      <sz val="10"/>
    </font>
    <font>
      <name val="Calibri"/>
      <b val="1"/>
      <color rgb="FFFFFFFF"/>
      <sz val="14"/>
    </font>
  </fonts>
  <fills count="31">
    <fill>
      <patternFill/>
    </fill>
    <fill>
      <patternFill patternType="gray125"/>
    </fill>
    <fill>
      <patternFill patternType="solid">
        <fgColor rgb="FF1A3557"/>
        <bgColor rgb="FF1F2937"/>
      </patternFill>
    </fill>
    <fill>
      <patternFill patternType="solid">
        <fgColor rgb="FFE87A1E"/>
        <bgColor rgb="FFB85C00"/>
      </patternFill>
    </fill>
    <fill>
      <patternFill patternType="solid">
        <fgColor rgb="FF2E8B57"/>
        <bgColor rgb="FF1A6B3A"/>
      </patternFill>
    </fill>
    <fill>
      <patternFill patternType="solid">
        <fgColor rgb="FFF8FAFC"/>
        <bgColor rgb="FFF5F7FA"/>
      </patternFill>
    </fill>
    <fill>
      <patternFill patternType="solid">
        <fgColor rgb="FFF5F7FA"/>
        <bgColor rgb="FFF3F4F6"/>
      </patternFill>
    </fill>
    <fill>
      <patternFill patternType="solid">
        <fgColor rgb="FFFFF3E0"/>
        <bgColor rgb="FFFDF0E3"/>
      </patternFill>
    </fill>
    <fill>
      <patternFill patternType="solid">
        <fgColor rgb="FFEBF5EF"/>
        <bgColor rgb="FFF0F4F8"/>
      </patternFill>
    </fill>
    <fill>
      <patternFill patternType="solid">
        <fgColor rgb="FFFFFFFF"/>
        <bgColor rgb="FFFFFEF7"/>
      </patternFill>
    </fill>
    <fill>
      <patternFill patternType="solid">
        <fgColor rgb="FFFFFEF7"/>
        <bgColor rgb="FFFFFFFF"/>
      </patternFill>
    </fill>
    <fill>
      <patternFill patternType="solid">
        <fgColor rgb="FFF0F4F8"/>
        <bgColor rgb="FFF3F4F6"/>
      </patternFill>
    </fill>
    <fill>
      <patternFill patternType="solid">
        <fgColor rgb="FFFDF0E3"/>
        <bgColor rgb="FFFFF3E0"/>
      </patternFill>
    </fill>
    <fill>
      <patternFill patternType="solid">
        <fgColor rgb="FFD1FAE5"/>
        <bgColor rgb="FFE0F2FE"/>
      </patternFill>
    </fill>
    <fill>
      <patternFill patternType="solid">
        <fgColor rgb="FFDBEAFE"/>
        <bgColor rgb="FFE0F2FE"/>
      </patternFill>
    </fill>
    <fill>
      <patternFill patternType="solid">
        <fgColor rgb="FFFEF9C3"/>
        <bgColor rgb="FFFEF3C7"/>
      </patternFill>
    </fill>
    <fill>
      <patternFill patternType="solid">
        <fgColor rgb="FFD9F99D"/>
        <bgColor rgb="FFFEF9C3"/>
      </patternFill>
    </fill>
    <fill>
      <patternFill patternType="solid">
        <fgColor rgb="FFFCE7F3"/>
        <bgColor rgb="FFFDF0E3"/>
      </patternFill>
    </fill>
    <fill>
      <patternFill patternType="solid">
        <fgColor rgb="FFFFEDD5"/>
        <bgColor rgb="FFFDF0E3"/>
      </patternFill>
    </fill>
    <fill>
      <patternFill patternType="solid">
        <fgColor rgb="FFF3F4F6"/>
        <bgColor rgb="FFF0F4F8"/>
      </patternFill>
    </fill>
    <fill>
      <patternFill patternType="solid">
        <fgColor rgb="FFEDE9FE"/>
        <bgColor rgb="FFF0F4F8"/>
      </patternFill>
    </fill>
    <fill>
      <patternFill patternType="solid">
        <fgColor rgb="FFE0F2FE"/>
        <bgColor rgb="FFDBEAFE"/>
      </patternFill>
    </fill>
    <fill>
      <patternFill patternType="solid">
        <fgColor rgb="FFECFDF5"/>
        <bgColor rgb="FFEBF5EF"/>
      </patternFill>
    </fill>
    <fill>
      <patternFill patternType="solid">
        <fgColor rgb="FFFEF3C7"/>
        <bgColor rgb="FFFEF9C3"/>
      </patternFill>
    </fill>
    <fill>
      <patternFill patternType="solid">
        <fgColor rgb="FF6B7280"/>
        <bgColor rgb="FF4B5563"/>
      </patternFill>
    </fill>
    <fill>
      <patternFill patternType="solid">
        <fgColor rgb="FF1A3557"/>
        <bgColor rgb="FF1A3557"/>
      </patternFill>
    </fill>
    <fill>
      <patternFill patternType="solid">
        <fgColor rgb="FF2E8B57"/>
        <bgColor rgb="FF2E8B57"/>
      </patternFill>
    </fill>
    <fill>
      <patternFill patternType="solid">
        <fgColor rgb="FFF5F7FA"/>
        <bgColor rgb="FFF5F7FA"/>
      </patternFill>
    </fill>
    <fill>
      <patternFill patternType="solid">
        <fgColor rgb="FFEBF5EF"/>
        <bgColor rgb="FFEBF5EF"/>
      </patternFill>
    </fill>
    <fill>
      <patternFill patternType="solid">
        <fgColor rgb="FFE87A1E"/>
        <bgColor rgb="FFE87A1E"/>
      </patternFill>
    </fill>
    <fill>
      <patternFill patternType="solid">
        <fgColor rgb="FFFFF3E0"/>
        <bgColor rgb="FFFFF3E0"/>
      </patternFill>
    </fill>
  </fills>
  <borders count="5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D1D5DB"/>
      </left>
      <right/>
      <top style="thin">
        <color rgb="FFD1D5DB"/>
      </top>
      <bottom style="thin">
        <color rgb="FFD1D5DB"/>
      </bottom>
      <diagonal/>
    </border>
    <border>
      <left/>
      <right/>
      <top style="thin">
        <color rgb="FFD1D5DB"/>
      </top>
      <bottom/>
      <diagonal/>
    </border>
    <border>
      <left/>
      <right/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136">
    <xf numFmtId="0" fontId="0" fillId="0" borderId="0" pivotButton="0" quotePrefix="0" xfId="0"/>
    <xf numFmtId="0" fontId="19" fillId="20" borderId="2" applyAlignment="1" pivotButton="0" quotePrefix="0" xfId="0">
      <alignment horizontal="center" vertical="center"/>
    </xf>
    <xf numFmtId="0" fontId="19" fillId="19" borderId="2" applyAlignment="1" pivotButton="0" quotePrefix="0" xfId="0">
      <alignment horizontal="center" vertical="center"/>
    </xf>
    <xf numFmtId="0" fontId="19" fillId="18" borderId="2" applyAlignment="1" pivotButton="0" quotePrefix="0" xfId="0">
      <alignment horizontal="center" vertical="center"/>
    </xf>
    <xf numFmtId="0" fontId="19" fillId="17" borderId="2" applyAlignment="1" pivotButton="0" quotePrefix="0" xfId="0">
      <alignment horizontal="center" vertical="center"/>
    </xf>
    <xf numFmtId="0" fontId="19" fillId="15" borderId="2" applyAlignment="1" pivotButton="0" quotePrefix="0" xfId="0">
      <alignment horizontal="center" vertical="center"/>
    </xf>
    <xf numFmtId="0" fontId="19" fillId="13" borderId="2" applyAlignment="1" pivotButton="0" quotePrefix="0" xfId="0">
      <alignment horizontal="center" vertical="center"/>
    </xf>
    <xf numFmtId="0" fontId="19" fillId="14" borderId="2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/>
    </xf>
    <xf numFmtId="0" fontId="17" fillId="2" borderId="0" applyAlignment="1" pivotButton="0" quotePrefix="0" xfId="0">
      <alignment horizontal="center" vertical="center"/>
    </xf>
    <xf numFmtId="0" fontId="16" fillId="8" borderId="0" applyAlignment="1" pivotButton="0" quotePrefix="0" xfId="0">
      <alignment horizontal="left" vertical="center"/>
    </xf>
    <xf numFmtId="0" fontId="7" fillId="12" borderId="2" applyAlignment="1" pivotButton="0" quotePrefix="0" xfId="0">
      <alignment horizontal="left" vertical="center" wrapText="1"/>
    </xf>
    <xf numFmtId="0" fontId="1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left" vertical="center"/>
    </xf>
    <xf numFmtId="164" fontId="7" fillId="7" borderId="1" applyAlignment="1" pivotButton="0" quotePrefix="0" xfId="0">
      <alignment horizontal="center" vertical="center"/>
    </xf>
    <xf numFmtId="2" fontId="5" fillId="6" borderId="1" applyAlignment="1" pivotButton="0" quotePrefix="0" xfId="0">
      <alignment horizontal="center" vertical="center"/>
    </xf>
    <xf numFmtId="2" fontId="8" fillId="8" borderId="1" applyAlignment="1" pivotButton="0" quotePrefix="0" xfId="0">
      <alignment horizontal="center" vertical="center"/>
    </xf>
    <xf numFmtId="2" fontId="9" fillId="8" borderId="1" applyAlignment="1" pivotButton="0" quotePrefix="0" xfId="0">
      <alignment horizontal="center" vertical="center"/>
    </xf>
    <xf numFmtId="3" fontId="5" fillId="6" borderId="1" applyAlignment="1" pivotButton="0" quotePrefix="0" xfId="0">
      <alignment horizontal="center" vertical="center"/>
    </xf>
    <xf numFmtId="3" fontId="9" fillId="8" borderId="1" applyAlignment="1" pivotButton="0" quotePrefix="0" xfId="0">
      <alignment horizontal="center" vertical="center"/>
    </xf>
    <xf numFmtId="3" fontId="8" fillId="8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left" vertical="center"/>
    </xf>
    <xf numFmtId="2" fontId="5" fillId="9" borderId="1" applyAlignment="1" pivotButton="0" quotePrefix="0" xfId="0">
      <alignment horizontal="center" vertical="center"/>
    </xf>
    <xf numFmtId="3" fontId="5" fillId="9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/>
    </xf>
    <xf numFmtId="164" fontId="10" fillId="10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left" vertical="center"/>
    </xf>
    <xf numFmtId="0" fontId="11" fillId="2" borderId="1" applyAlignment="1" pivotButton="0" quotePrefix="0" xfId="0">
      <alignment horizontal="center" vertical="center"/>
    </xf>
    <xf numFmtId="164" fontId="12" fillId="3" borderId="1" applyAlignment="1" pivotButton="0" quotePrefix="0" xfId="0">
      <alignment horizontal="center" vertical="center"/>
    </xf>
    <xf numFmtId="2" fontId="11" fillId="4" borderId="1" applyAlignment="1" pivotButton="0" quotePrefix="0" xfId="0">
      <alignment horizontal="center" vertical="center"/>
    </xf>
    <xf numFmtId="3" fontId="11" fillId="4" borderId="1" applyAlignment="1" pivotButton="0" quotePrefix="0" xfId="0">
      <alignment horizontal="center" vertical="center"/>
    </xf>
    <xf numFmtId="0" fontId="12" fillId="3" borderId="1" applyAlignment="1" pivotButton="0" quotePrefix="0" xfId="0">
      <alignment horizontal="center" vertical="center"/>
    </xf>
    <xf numFmtId="0" fontId="13" fillId="11" borderId="1" applyAlignment="1" pivotButton="0" quotePrefix="0" xfId="0">
      <alignment horizontal="center" vertical="center"/>
    </xf>
    <xf numFmtId="164" fontId="7" fillId="11" borderId="1" applyAlignment="1" pivotButton="0" quotePrefix="0" xfId="0">
      <alignment horizontal="center" vertical="center"/>
    </xf>
    <xf numFmtId="2" fontId="8" fillId="11" borderId="1" applyAlignment="1" pivotButton="0" quotePrefix="0" xfId="0">
      <alignment horizontal="center" vertical="center"/>
    </xf>
    <xf numFmtId="3" fontId="8" fillId="11" borderId="1" applyAlignment="1" pivotButton="0" quotePrefix="0" xfId="0">
      <alignment horizontal="center" vertical="center"/>
    </xf>
    <xf numFmtId="0" fontId="7" fillId="11" borderId="1" applyAlignment="1" pivotButton="0" quotePrefix="0" xfId="0">
      <alignment horizontal="center" vertical="center"/>
    </xf>
    <xf numFmtId="0" fontId="14" fillId="8" borderId="1" applyAlignment="1" pivotButton="0" quotePrefix="0" xfId="0">
      <alignment horizontal="center" vertical="center"/>
    </xf>
    <xf numFmtId="164" fontId="15" fillId="8" borderId="1" applyAlignment="1" pivotButton="0" quotePrefix="0" xfId="0">
      <alignment horizontal="center" vertical="center"/>
    </xf>
    <xf numFmtId="2" fontId="14" fillId="8" borderId="1" applyAlignment="1" pivotButton="0" quotePrefix="0" xfId="0">
      <alignment horizontal="center" vertical="center"/>
    </xf>
    <xf numFmtId="3" fontId="14" fillId="8" borderId="1" applyAlignment="1" pivotButton="0" quotePrefix="0" xfId="0">
      <alignment horizontal="center" vertical="center"/>
    </xf>
    <xf numFmtId="0" fontId="7" fillId="12" borderId="1" applyAlignment="1" pivotButton="0" quotePrefix="0" xfId="0">
      <alignment horizontal="center" vertical="center"/>
    </xf>
    <xf numFmtId="0" fontId="13" fillId="6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center" vertical="center"/>
    </xf>
    <xf numFmtId="0" fontId="5" fillId="13" borderId="1" applyAlignment="1" pivotButton="0" quotePrefix="0" xfId="0">
      <alignment horizontal="center" vertical="center"/>
    </xf>
    <xf numFmtId="0" fontId="6" fillId="13" borderId="1" applyAlignment="1" pivotButton="0" quotePrefix="0" xfId="0">
      <alignment horizontal="left" vertical="center"/>
    </xf>
    <xf numFmtId="3" fontId="5" fillId="13" borderId="1" applyAlignment="1" pivotButton="0" quotePrefix="0" xfId="0">
      <alignment horizontal="center" vertical="center"/>
    </xf>
    <xf numFmtId="2" fontId="5" fillId="13" borderId="1" applyAlignment="1" pivotButton="0" quotePrefix="0" xfId="0">
      <alignment horizontal="center" vertical="center"/>
    </xf>
    <xf numFmtId="0" fontId="5" fillId="13" borderId="1" applyAlignment="1" pivotButton="0" quotePrefix="0" xfId="0">
      <alignment horizontal="left" vertical="center"/>
    </xf>
    <xf numFmtId="0" fontId="5" fillId="14" borderId="1" applyAlignment="1" pivotButton="0" quotePrefix="0" xfId="0">
      <alignment horizontal="center" vertical="center"/>
    </xf>
    <xf numFmtId="0" fontId="6" fillId="14" borderId="1" applyAlignment="1" pivotButton="0" quotePrefix="0" xfId="0">
      <alignment horizontal="left" vertical="center"/>
    </xf>
    <xf numFmtId="3" fontId="5" fillId="14" borderId="1" applyAlignment="1" pivotButton="0" quotePrefix="0" xfId="0">
      <alignment horizontal="center" vertical="center"/>
    </xf>
    <xf numFmtId="2" fontId="5" fillId="14" borderId="1" applyAlignment="1" pivotButton="0" quotePrefix="0" xfId="0">
      <alignment horizontal="center" vertical="center"/>
    </xf>
    <xf numFmtId="0" fontId="5" fillId="14" borderId="1" applyAlignment="1" pivotButton="0" quotePrefix="0" xfId="0">
      <alignment horizontal="left" vertical="center"/>
    </xf>
    <xf numFmtId="0" fontId="5" fillId="15" borderId="1" applyAlignment="1" pivotButton="0" quotePrefix="0" xfId="0">
      <alignment horizontal="center" vertical="center"/>
    </xf>
    <xf numFmtId="0" fontId="6" fillId="15" borderId="1" applyAlignment="1" pivotButton="0" quotePrefix="0" xfId="0">
      <alignment horizontal="left" vertical="center"/>
    </xf>
    <xf numFmtId="3" fontId="5" fillId="15" borderId="1" applyAlignment="1" pivotButton="0" quotePrefix="0" xfId="0">
      <alignment horizontal="center" vertical="center"/>
    </xf>
    <xf numFmtId="2" fontId="5" fillId="15" borderId="1" applyAlignment="1" pivotButton="0" quotePrefix="0" xfId="0">
      <alignment horizontal="center" vertical="center"/>
    </xf>
    <xf numFmtId="0" fontId="5" fillId="15" borderId="1" applyAlignment="1" pivotButton="0" quotePrefix="0" xfId="0">
      <alignment horizontal="left" vertical="center"/>
    </xf>
    <xf numFmtId="0" fontId="5" fillId="16" borderId="1" applyAlignment="1" pivotButton="0" quotePrefix="0" xfId="0">
      <alignment horizontal="center" vertical="center"/>
    </xf>
    <xf numFmtId="0" fontId="6" fillId="16" borderId="1" applyAlignment="1" pivotButton="0" quotePrefix="0" xfId="0">
      <alignment horizontal="left" vertical="center"/>
    </xf>
    <xf numFmtId="3" fontId="5" fillId="16" borderId="1" applyAlignment="1" pivotButton="0" quotePrefix="0" xfId="0">
      <alignment horizontal="center" vertical="center"/>
    </xf>
    <xf numFmtId="2" fontId="5" fillId="16" borderId="1" applyAlignment="1" pivotButton="0" quotePrefix="0" xfId="0">
      <alignment horizontal="center" vertical="center"/>
    </xf>
    <xf numFmtId="0" fontId="5" fillId="16" borderId="1" applyAlignment="1" pivotButton="0" quotePrefix="0" xfId="0">
      <alignment horizontal="left" vertical="center"/>
    </xf>
    <xf numFmtId="0" fontId="5" fillId="17" borderId="1" applyAlignment="1" pivotButton="0" quotePrefix="0" xfId="0">
      <alignment horizontal="center" vertical="center"/>
    </xf>
    <xf numFmtId="0" fontId="6" fillId="17" borderId="1" applyAlignment="1" pivotButton="0" quotePrefix="0" xfId="0">
      <alignment horizontal="left" vertical="center"/>
    </xf>
    <xf numFmtId="3" fontId="5" fillId="17" borderId="1" applyAlignment="1" pivotButton="0" quotePrefix="0" xfId="0">
      <alignment horizontal="center" vertical="center"/>
    </xf>
    <xf numFmtId="2" fontId="5" fillId="17" borderId="1" applyAlignment="1" pivotButton="0" quotePrefix="0" xfId="0">
      <alignment horizontal="center" vertical="center"/>
    </xf>
    <xf numFmtId="0" fontId="5" fillId="17" borderId="1" applyAlignment="1" pivotButton="0" quotePrefix="0" xfId="0">
      <alignment horizontal="left" vertical="center"/>
    </xf>
    <xf numFmtId="0" fontId="5" fillId="18" borderId="1" applyAlignment="1" pivotButton="0" quotePrefix="0" xfId="0">
      <alignment horizontal="center" vertical="center"/>
    </xf>
    <xf numFmtId="0" fontId="6" fillId="18" borderId="1" applyAlignment="1" pivotButton="0" quotePrefix="0" xfId="0">
      <alignment horizontal="left" vertical="center"/>
    </xf>
    <xf numFmtId="3" fontId="5" fillId="18" borderId="1" applyAlignment="1" pivotButton="0" quotePrefix="0" xfId="0">
      <alignment horizontal="center" vertical="center"/>
    </xf>
    <xf numFmtId="2" fontId="5" fillId="18" borderId="1" applyAlignment="1" pivotButton="0" quotePrefix="0" xfId="0">
      <alignment horizontal="center" vertical="center"/>
    </xf>
    <xf numFmtId="0" fontId="5" fillId="18" borderId="1" applyAlignment="1" pivotButton="0" quotePrefix="0" xfId="0">
      <alignment horizontal="left" vertical="center"/>
    </xf>
    <xf numFmtId="0" fontId="5" fillId="19" borderId="1" applyAlignment="1" pivotButton="0" quotePrefix="0" xfId="0">
      <alignment horizontal="center" vertical="center"/>
    </xf>
    <xf numFmtId="0" fontId="6" fillId="19" borderId="1" applyAlignment="1" pivotButton="0" quotePrefix="0" xfId="0">
      <alignment horizontal="left" vertical="center"/>
    </xf>
    <xf numFmtId="3" fontId="5" fillId="19" borderId="1" applyAlignment="1" pivotButton="0" quotePrefix="0" xfId="0">
      <alignment horizontal="center" vertical="center"/>
    </xf>
    <xf numFmtId="2" fontId="5" fillId="19" borderId="1" applyAlignment="1" pivotButton="0" quotePrefix="0" xfId="0">
      <alignment horizontal="center" vertical="center"/>
    </xf>
    <xf numFmtId="0" fontId="5" fillId="19" borderId="1" applyAlignment="1" pivotButton="0" quotePrefix="0" xfId="0">
      <alignment horizontal="left" vertical="center"/>
    </xf>
    <xf numFmtId="0" fontId="5" fillId="20" borderId="1" applyAlignment="1" pivotButton="0" quotePrefix="0" xfId="0">
      <alignment horizontal="center" vertical="center"/>
    </xf>
    <xf numFmtId="0" fontId="6" fillId="20" borderId="1" applyAlignment="1" pivotButton="0" quotePrefix="0" xfId="0">
      <alignment horizontal="left" vertical="center"/>
    </xf>
    <xf numFmtId="3" fontId="5" fillId="20" borderId="1" applyAlignment="1" pivotButton="0" quotePrefix="0" xfId="0">
      <alignment horizontal="center" vertical="center"/>
    </xf>
    <xf numFmtId="2" fontId="5" fillId="20" borderId="1" applyAlignment="1" pivotButton="0" quotePrefix="0" xfId="0">
      <alignment horizontal="center" vertical="center"/>
    </xf>
    <xf numFmtId="0" fontId="5" fillId="20" borderId="1" applyAlignment="1" pivotButton="0" quotePrefix="0" xfId="0">
      <alignment horizontal="left" vertical="center"/>
    </xf>
    <xf numFmtId="0" fontId="5" fillId="21" borderId="1" applyAlignment="1" pivotButton="0" quotePrefix="0" xfId="0">
      <alignment horizontal="center" vertical="center"/>
    </xf>
    <xf numFmtId="0" fontId="6" fillId="21" borderId="1" applyAlignment="1" pivotButton="0" quotePrefix="0" xfId="0">
      <alignment horizontal="left" vertical="center"/>
    </xf>
    <xf numFmtId="3" fontId="5" fillId="21" borderId="1" applyAlignment="1" pivotButton="0" quotePrefix="0" xfId="0">
      <alignment horizontal="center" vertical="center"/>
    </xf>
    <xf numFmtId="2" fontId="5" fillId="21" borderId="1" applyAlignment="1" pivotButton="0" quotePrefix="0" xfId="0">
      <alignment horizontal="center" vertical="center"/>
    </xf>
    <xf numFmtId="0" fontId="5" fillId="21" borderId="1" applyAlignment="1" pivotButton="0" quotePrefix="0" xfId="0">
      <alignment horizontal="left" vertical="center"/>
    </xf>
    <xf numFmtId="0" fontId="5" fillId="22" borderId="1" applyAlignment="1" pivotButton="0" quotePrefix="0" xfId="0">
      <alignment horizontal="center" vertical="center"/>
    </xf>
    <xf numFmtId="0" fontId="6" fillId="22" borderId="1" applyAlignment="1" pivotButton="0" quotePrefix="0" xfId="0">
      <alignment horizontal="left" vertical="center"/>
    </xf>
    <xf numFmtId="3" fontId="5" fillId="22" borderId="1" applyAlignment="1" pivotButton="0" quotePrefix="0" xfId="0">
      <alignment horizontal="center" vertical="center"/>
    </xf>
    <xf numFmtId="2" fontId="5" fillId="22" borderId="1" applyAlignment="1" pivotButton="0" quotePrefix="0" xfId="0">
      <alignment horizontal="center" vertical="center"/>
    </xf>
    <xf numFmtId="0" fontId="5" fillId="22" borderId="1" applyAlignment="1" pivotButton="0" quotePrefix="0" xfId="0">
      <alignment horizontal="left" vertical="center"/>
    </xf>
    <xf numFmtId="0" fontId="5" fillId="23" borderId="1" applyAlignment="1" pivotButton="0" quotePrefix="0" xfId="0">
      <alignment horizontal="center" vertical="center"/>
    </xf>
    <xf numFmtId="0" fontId="6" fillId="23" borderId="1" applyAlignment="1" pivotButton="0" quotePrefix="0" xfId="0">
      <alignment horizontal="left" vertical="center"/>
    </xf>
    <xf numFmtId="3" fontId="5" fillId="23" borderId="1" applyAlignment="1" pivotButton="0" quotePrefix="0" xfId="0">
      <alignment horizontal="center" vertical="center"/>
    </xf>
    <xf numFmtId="2" fontId="5" fillId="23" borderId="1" applyAlignment="1" pivotButton="0" quotePrefix="0" xfId="0">
      <alignment horizontal="center" vertical="center"/>
    </xf>
    <xf numFmtId="0" fontId="5" fillId="23" borderId="1" applyAlignment="1" pivotButton="0" quotePrefix="0" xfId="0">
      <alignment horizontal="left" vertical="center"/>
    </xf>
    <xf numFmtId="0" fontId="3" fillId="24" borderId="1" applyAlignment="1" pivotButton="0" quotePrefix="0" xfId="0">
      <alignment horizontal="center" vertical="center" wrapText="1"/>
    </xf>
    <xf numFmtId="164" fontId="5" fillId="6" borderId="1" applyAlignment="1" pivotButton="0" quotePrefix="0" xfId="0">
      <alignment horizontal="center" vertical="center"/>
    </xf>
    <xf numFmtId="164" fontId="9" fillId="12" borderId="1" applyAlignment="1" pivotButton="0" quotePrefix="0" xfId="0">
      <alignment horizontal="center" vertical="center"/>
    </xf>
    <xf numFmtId="164" fontId="5" fillId="9" borderId="1" applyAlignment="1" pivotButton="0" quotePrefix="0" xfId="0">
      <alignment horizontal="center" vertical="center"/>
    </xf>
    <xf numFmtId="0" fontId="11" fillId="4" borderId="1" applyAlignment="1" pivotButton="0" quotePrefix="0" xfId="0">
      <alignment horizontal="center" vertical="center"/>
    </xf>
    <xf numFmtId="164" fontId="11" fillId="3" borderId="1" applyAlignment="1" pivotButton="0" quotePrefix="0" xfId="0">
      <alignment horizontal="center" vertical="center"/>
    </xf>
    <xf numFmtId="2" fontId="11" fillId="3" borderId="1" applyAlignment="1" pivotButton="0" quotePrefix="0" xfId="0">
      <alignment horizontal="center" vertical="center"/>
    </xf>
    <xf numFmtId="0" fontId="19" fillId="22" borderId="2" applyAlignment="1" pivotButton="0" quotePrefix="0" xfId="0">
      <alignment horizontal="center" vertical="center"/>
    </xf>
    <xf numFmtId="0" fontId="19" fillId="16" borderId="2" applyAlignment="1" pivotButton="0" quotePrefix="0" xfId="0">
      <alignment horizontal="center" vertical="center"/>
    </xf>
    <xf numFmtId="0" fontId="19" fillId="23" borderId="2" applyAlignment="1" pivotButton="0" quotePrefix="0" xfId="0">
      <alignment horizontal="center" vertical="center"/>
    </xf>
    <xf numFmtId="0" fontId="19" fillId="21" borderId="2" applyAlignment="1" pivotButton="0" quotePrefix="0" xfId="0">
      <alignment horizontal="center" vertical="center"/>
    </xf>
    <xf numFmtId="0" fontId="23" fillId="25" borderId="0" applyAlignment="1" pivotButton="0" quotePrefix="0" xfId="0">
      <alignment horizontal="center" vertical="center" wrapText="1"/>
    </xf>
    <xf numFmtId="3" fontId="24" fillId="29" borderId="0" applyAlignment="1" pivotButton="0" quotePrefix="0" xfId="0">
      <alignment horizontal="center" vertical="center"/>
    </xf>
    <xf numFmtId="0" fontId="20" fillId="25" borderId="0" applyAlignment="1" pivotButton="0" quotePrefix="0" xfId="0">
      <alignment horizontal="center" vertical="center" wrapText="1"/>
    </xf>
    <xf numFmtId="0" fontId="20" fillId="26" borderId="0" applyAlignment="1" pivotButton="0" quotePrefix="0" xfId="0">
      <alignment horizontal="center" vertical="center" wrapText="1"/>
    </xf>
    <xf numFmtId="0" fontId="20" fillId="29" borderId="0" applyAlignment="1" pivotButton="0" quotePrefix="0" xfId="0">
      <alignment horizontal="center" vertical="center" wrapText="1"/>
    </xf>
    <xf numFmtId="0" fontId="21" fillId="25" borderId="0" applyAlignment="1" pivotButton="0" quotePrefix="0" xfId="0">
      <alignment horizontal="center" vertical="center" wrapText="1"/>
    </xf>
    <xf numFmtId="0" fontId="21" fillId="26" borderId="0" applyAlignment="1" pivotButton="0" quotePrefix="0" xfId="0">
      <alignment horizontal="center" vertical="center" wrapText="1"/>
    </xf>
    <xf numFmtId="0" fontId="21" fillId="29" borderId="0" applyAlignment="1" pivotButton="0" quotePrefix="0" xfId="0">
      <alignment horizontal="center" vertical="center" wrapText="1"/>
    </xf>
    <xf numFmtId="2" fontId="22" fillId="27" borderId="0" applyAlignment="1" pivotButton="0" quotePrefix="0" xfId="0">
      <alignment horizontal="center" vertical="center"/>
    </xf>
    <xf numFmtId="2" fontId="22" fillId="28" borderId="0" applyAlignment="1" pivotButton="0" quotePrefix="0" xfId="0">
      <alignment horizontal="center" vertical="center"/>
    </xf>
    <xf numFmtId="4" fontId="22" fillId="30" borderId="0" applyAlignment="1" pivotButton="0" quotePrefix="0" xfId="0">
      <alignment horizontal="center" vertical="center"/>
    </xf>
    <xf numFmtId="2" fontId="20" fillId="25" borderId="0" applyAlignment="1" pivotButton="0" quotePrefix="0" xfId="0">
      <alignment horizontal="center" vertical="center"/>
    </xf>
    <xf numFmtId="2" fontId="20" fillId="26" borderId="0" applyAlignment="1" pivotButton="0" quotePrefix="0" xfId="0">
      <alignment horizontal="center" vertical="center"/>
    </xf>
    <xf numFmtId="4" fontId="20" fillId="29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 wrapText="1"/>
    </xf>
    <xf numFmtId="2" fontId="8" fillId="11" borderId="0" applyAlignment="1" pivotButton="0" quotePrefix="0" xfId="0">
      <alignment horizontal="center" vertical="center"/>
    </xf>
    <xf numFmtId="0" fontId="0" fillId="0" borderId="4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D9F99D"/>
      <rgbColor rgb="FFFF00FF"/>
      <rgbColor rgb="FF00FFFF"/>
      <rgbColor rgb="FF800000"/>
      <rgbColor rgb="FF1A6B3A"/>
      <rgbColor rgb="FF000080"/>
      <rgbColor rgb="FF808000"/>
      <rgbColor rgb="FF800080"/>
      <rgbColor rgb="FF008080"/>
      <rgbColor rgb="FFCCCCCC"/>
      <rgbColor rgb="FFFFFEF7"/>
      <rgbColor rgb="FFEDE9FE"/>
      <rgbColor rgb="FF993366"/>
      <rgbColor rgb="FFFEF9C3"/>
      <rgbColor rgb="FFE0F2FE"/>
      <rgbColor rgb="FF660066"/>
      <rgbColor rgb="FFF3F4F6"/>
      <rgbColor rgb="FF0066CC"/>
      <rgbColor rgb="FFD1D5DB"/>
      <rgbColor rgb="FF000080"/>
      <rgbColor rgb="FFFF00FF"/>
      <rgbColor rgb="FFFFF3E0"/>
      <rgbColor rgb="FF00FFFF"/>
      <rgbColor rgb="FF800080"/>
      <rgbColor rgb="FF800000"/>
      <rgbColor rgb="FF008080"/>
      <rgbColor rgb="FF0000FF"/>
      <rgbColor rgb="FF00CCFF"/>
      <rgbColor rgb="FFECFDF5"/>
      <rgbColor rgb="FFD1FAE5"/>
      <rgbColor rgb="FFFEF3C7"/>
      <rgbColor rgb="FFA8C8E8"/>
      <rgbColor rgb="FFFCE7F3"/>
      <rgbColor rgb="FFDBEAFE"/>
      <rgbColor rgb="FFFFEDD5"/>
      <rgbColor rgb="FF3366FF"/>
      <rgbColor rgb="FFF8FAFC"/>
      <rgbColor rgb="FFF0F4F8"/>
      <rgbColor rgb="FFFDF0E3"/>
      <rgbColor rgb="FFF5F7FA"/>
      <rgbColor rgb="FFE87A1E"/>
      <rgbColor rgb="FF6B7280"/>
      <rgbColor rgb="FFEBF5EF"/>
      <rgbColor rgb="FF1A3557"/>
      <rgbColor rgb="FF2E8B57"/>
      <rgbColor rgb="FF003300"/>
      <rgbColor rgb="FF4B5563"/>
      <rgbColor rgb="FFB85C00"/>
      <rgbColor rgb="FF993366"/>
      <rgbColor rgb="FF374151"/>
      <rgbColor rgb="FF1F2937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2"/>
  <sheetViews>
    <sheetView showGridLines="0" zoomScaleNormal="100" workbookViewId="0">
      <pane xSplit="2" ySplit="5" topLeftCell="C6" activePane="bottomRight" state="frozen"/>
      <selection pane="bottomLeft" activeCell="A6" sqref="A6"/>
      <selection pane="topRight" activeCell="C1" sqref="C1"/>
      <selection pane="bottomRight" activeCell="A41" sqref="A41:M41"/>
    </sheetView>
  </sheetViews>
  <sheetFormatPr baseColWidth="8" defaultColWidth="8.7421875" defaultRowHeight="15"/>
  <cols>
    <col width="4.9765625" customWidth="1" min="1" max="1"/>
    <col width="22.05859375" customWidth="1" min="2" max="2"/>
    <col width="11.97265625" customWidth="1" min="3" max="3"/>
    <col width="13.98828125" customWidth="1" min="4" max="4"/>
    <col width="16.0078125" customWidth="1" min="5" max="5"/>
    <col width="13.046875" customWidth="1" min="6" max="6"/>
    <col width="13.98828125" customWidth="1" min="7" max="7"/>
    <col width="13.046875" customWidth="1" min="8" max="8"/>
    <col width="11.97265625" customWidth="1" min="9" max="9"/>
    <col width="13" customWidth="1" min="10" max="12"/>
    <col width="13" customWidth="1" min="11" max="11"/>
    <col width="16.0078125" customWidth="1" min="13" max="13"/>
    <col width="15" customWidth="1" min="16" max="16"/>
  </cols>
  <sheetData>
    <row r="1" ht="31.5" customHeight="1">
      <c r="A1" s="14" t="inlineStr">
        <is>
          <t>PPBIB — TEMPLATE FORMULASI PAKAN MANDIRI</t>
        </is>
      </c>
      <c r="P1" s="118" t="inlineStr">
        <is>
          <t>⬇ Total Batch (kg)</t>
        </is>
      </c>
    </row>
    <row r="2" ht="19.5" customHeight="1">
      <c r="A2" s="13" t="inlineStr">
        <is>
          <t>Pusat Pelatihan Budidaya Ikan Air Tawar  |  Instruktur: Aditiya Nugraha</t>
        </is>
      </c>
      <c r="P2" s="119" t="n">
        <v>100</v>
      </c>
    </row>
    <row r="3" ht="36" customHeight="1"/>
    <row r="4" ht="42" customHeight="1">
      <c r="A4" s="15" t="inlineStr">
        <is>
          <t>No</t>
        </is>
      </c>
      <c r="B4" s="15" t="inlineStr">
        <is>
          <t>Nama Bahan</t>
        </is>
      </c>
      <c r="C4" s="16" t="inlineStr">
        <is>
          <t>Proporsi (%)</t>
        </is>
      </c>
      <c r="D4" s="15" t="inlineStr">
        <is>
          <t>Kadar Protein (%)</t>
        </is>
      </c>
      <c r="E4" s="17" t="inlineStr">
        <is>
          <t>Kontribusi Protein</t>
        </is>
      </c>
      <c r="F4" s="15" t="inlineStr">
        <is>
          <t>Kadar Lemak (%)</t>
        </is>
      </c>
      <c r="G4" s="17" t="inlineStr">
        <is>
          <t>Kontribusi Lemak</t>
        </is>
      </c>
      <c r="H4" s="15" t="inlineStr">
        <is>
          <t>Serat Kasar (%)</t>
        </is>
      </c>
      <c r="I4" s="17" t="inlineStr">
        <is>
          <t>Kontribusi SK</t>
        </is>
      </c>
      <c r="J4" s="120" t="inlineStr">
        <is>
          <t>Kadar Abu (%)</t>
        </is>
      </c>
      <c r="K4" s="121" t="inlineStr">
        <is>
          <t>Kontribusi Abu</t>
        </is>
      </c>
      <c r="L4" s="15" t="inlineStr">
        <is>
          <t>ME (kkal/kg)</t>
        </is>
      </c>
      <c r="M4" s="17" t="inlineStr">
        <is>
          <t>Kontribusi ME</t>
        </is>
      </c>
      <c r="N4" s="15" t="inlineStr">
        <is>
          <t>Harga/kg (Rp)</t>
        </is>
      </c>
      <c r="O4" s="17" t="inlineStr">
        <is>
          <t>Biaya/kg Pakan</t>
        </is>
      </c>
      <c r="P4" s="122" t="inlineStr">
        <is>
          <t>Proporsi
(kg)</t>
        </is>
      </c>
    </row>
    <row r="5" ht="36" customHeight="1">
      <c r="A5" s="18" t="inlineStr">
        <is>
          <t>Nomor
urutan</t>
        </is>
      </c>
      <c r="B5" s="18" t="inlineStr">
        <is>
          <t>Daftar bahan
baku</t>
        </is>
      </c>
      <c r="C5" s="18" t="inlineStr">
        <is>
          <t>← Ini yang
kamu ubah</t>
        </is>
      </c>
      <c r="D5" s="18" t="inlineStr">
        <is>
          <t>Data referensi
nilai nutrisi</t>
        </is>
      </c>
      <c r="E5" s="18" t="inlineStr">
        <is>
          <t>Rumus otomatis
=C×D÷100</t>
        </is>
      </c>
      <c r="F5" s="18" t="inlineStr">
        <is>
          <t>Data referensi
nilai nutrisi</t>
        </is>
      </c>
      <c r="G5" s="18" t="inlineStr">
        <is>
          <t>Rumus otomatis
=C×F÷100</t>
        </is>
      </c>
      <c r="H5" s="18" t="inlineStr">
        <is>
          <t>Data referensi
nilai nutrisi</t>
        </is>
      </c>
      <c r="I5" s="18" t="inlineStr">
        <is>
          <t>Rumus otomatis
=C×H÷100</t>
        </is>
      </c>
      <c r="J5" s="123" t="inlineStr">
        <is>
          <t>Data referensi
nilai nutrisi</t>
        </is>
      </c>
      <c r="K5" s="124" t="inlineStr">
        <is>
          <t>Rumus otomatis
=C×J÷100</t>
        </is>
      </c>
      <c r="L5" s="18" t="inlineStr">
        <is>
          <t>Data referensi
nilai energi</t>
        </is>
      </c>
      <c r="M5" s="18" t="inlineStr">
        <is>
          <t>Rumus otomatis
=C×L÷100</t>
        </is>
      </c>
      <c r="N5" s="18" t="inlineStr">
        <is>
          <t>Input harga
lokal kamu</t>
        </is>
      </c>
      <c r="O5" s="18" t="inlineStr">
        <is>
          <t>Rumus otomatis
=C×N÷100</t>
        </is>
      </c>
      <c r="P5" s="125" t="inlineStr">
        <is>
          <t>← Isi batch
di sel P2</t>
        </is>
      </c>
    </row>
    <row r="6">
      <c r="A6" s="19" t="n">
        <v>1</v>
      </c>
      <c r="B6" s="20" t="inlineStr">
        <is>
          <t>Bungkil kedelai</t>
        </is>
      </c>
      <c r="C6" s="21" t="n">
        <v>30</v>
      </c>
      <c r="D6" s="22" t="n">
        <v>45.53</v>
      </c>
      <c r="E6" s="23">
        <f>C6*D6/100</f>
        <v/>
      </c>
      <c r="F6" s="22" t="n">
        <v>1.76</v>
      </c>
      <c r="G6" s="24">
        <f>C6*F6/100</f>
        <v/>
      </c>
      <c r="H6" s="22" t="n">
        <v>5.89</v>
      </c>
      <c r="I6" s="24">
        <f>C6*H6/100</f>
        <v/>
      </c>
      <c r="J6" s="126" t="n">
        <v>6.24</v>
      </c>
      <c r="K6" s="127">
        <f>C6*J6/100</f>
        <v/>
      </c>
      <c r="L6" s="25" t="n">
        <v>3400</v>
      </c>
      <c r="M6" s="26">
        <f>C6*L6/100</f>
        <v/>
      </c>
      <c r="N6" s="25" t="n">
        <v>8500</v>
      </c>
      <c r="O6" s="27">
        <f>C6*N6/100</f>
        <v/>
      </c>
      <c r="P6" s="128">
        <f>C6/100*$P$2</f>
        <v/>
      </c>
    </row>
    <row r="7">
      <c r="A7" s="28" t="n">
        <v>2</v>
      </c>
      <c r="B7" s="29" t="inlineStr">
        <is>
          <t>Meat bone meal (MBM)</t>
        </is>
      </c>
      <c r="C7" s="21" t="n">
        <v>4</v>
      </c>
      <c r="D7" s="30" t="n">
        <v>52.57</v>
      </c>
      <c r="E7" s="23">
        <f>C7*D7/100</f>
        <v/>
      </c>
      <c r="F7" s="30" t="n">
        <v>8.82</v>
      </c>
      <c r="G7" s="24">
        <f>C7*F7/100</f>
        <v/>
      </c>
      <c r="H7" s="30" t="n">
        <v>2.41</v>
      </c>
      <c r="I7" s="24">
        <f>C7*H7/100</f>
        <v/>
      </c>
      <c r="J7" s="126" t="n">
        <v>29.53</v>
      </c>
      <c r="K7" s="127">
        <f>C7*J7/100</f>
        <v/>
      </c>
      <c r="L7" s="31" t="n">
        <v>2375</v>
      </c>
      <c r="M7" s="26">
        <f>C7*L7/100</f>
        <v/>
      </c>
      <c r="N7" s="31" t="n">
        <v>10000</v>
      </c>
      <c r="O7" s="27">
        <f>C7*N7/100</f>
        <v/>
      </c>
      <c r="P7" s="128">
        <f>C7/100*$P$2</f>
        <v/>
      </c>
    </row>
    <row r="8">
      <c r="A8" s="19" t="n">
        <v>3</v>
      </c>
      <c r="B8" s="20" t="inlineStr">
        <is>
          <t>Corn gluten feed</t>
        </is>
      </c>
      <c r="C8" s="21" t="n">
        <v>5</v>
      </c>
      <c r="D8" s="22" t="n">
        <v>24.39</v>
      </c>
      <c r="E8" s="23">
        <f>C8*D8/100</f>
        <v/>
      </c>
      <c r="F8" s="22" t="n">
        <v>2.2</v>
      </c>
      <c r="G8" s="24">
        <f>C8*F8/100</f>
        <v/>
      </c>
      <c r="H8" s="22" t="n">
        <v>7.27</v>
      </c>
      <c r="I8" s="24">
        <f>C8*H8/100</f>
        <v/>
      </c>
      <c r="J8" s="126" t="n">
        <v>6.4</v>
      </c>
      <c r="K8" s="127">
        <f>C8*J8/100</f>
        <v/>
      </c>
      <c r="L8" s="25" t="n">
        <v>3720</v>
      </c>
      <c r="M8" s="26">
        <f>C8*L8/100</f>
        <v/>
      </c>
      <c r="N8" s="25" t="n">
        <v>5000</v>
      </c>
      <c r="O8" s="27">
        <f>C8*N8/100</f>
        <v/>
      </c>
      <c r="P8" s="128">
        <f>C8/100*$P$2</f>
        <v/>
      </c>
    </row>
    <row r="9">
      <c r="A9" s="28" t="n">
        <v>4</v>
      </c>
      <c r="B9" s="29" t="inlineStr">
        <is>
          <t>DDGS</t>
        </is>
      </c>
      <c r="C9" s="21" t="n">
        <v>14</v>
      </c>
      <c r="D9" s="30" t="n">
        <v>30.23</v>
      </c>
      <c r="E9" s="23">
        <f>C9*D9/100</f>
        <v/>
      </c>
      <c r="F9" s="30" t="n">
        <v>5.48</v>
      </c>
      <c r="G9" s="24">
        <f>C9*F9/100</f>
        <v/>
      </c>
      <c r="H9" s="30" t="n">
        <v>8.460000000000001</v>
      </c>
      <c r="I9" s="24">
        <f>C9*H9/100</f>
        <v/>
      </c>
      <c r="J9" s="126" t="n">
        <v>4.87</v>
      </c>
      <c r="K9" s="127">
        <f>C9*J9/100</f>
        <v/>
      </c>
      <c r="L9" s="31" t="n">
        <v>2500</v>
      </c>
      <c r="M9" s="26">
        <f>C9*L9/100</f>
        <v/>
      </c>
      <c r="N9" s="31" t="n">
        <v>7900</v>
      </c>
      <c r="O9" s="27">
        <f>C9*N9/100</f>
        <v/>
      </c>
      <c r="P9" s="128">
        <f>C9/100*$P$2</f>
        <v/>
      </c>
    </row>
    <row r="10">
      <c r="A10" s="19" t="n">
        <v>5</v>
      </c>
      <c r="B10" s="32" t="inlineStr">
        <is>
          <t>Tepung ikan impor</t>
        </is>
      </c>
      <c r="C10" s="33" t="n"/>
      <c r="D10" s="22" t="n">
        <v>55</v>
      </c>
      <c r="E10" s="23">
        <f>C10*D10/100</f>
        <v/>
      </c>
      <c r="F10" s="22" t="n">
        <v>7.52</v>
      </c>
      <c r="G10" s="24">
        <f>C10*F10/100</f>
        <v/>
      </c>
      <c r="H10" s="22" t="n">
        <v>0.7</v>
      </c>
      <c r="I10" s="24">
        <f>C10*H10/100</f>
        <v/>
      </c>
      <c r="J10" s="126" t="n">
        <v>26</v>
      </c>
      <c r="K10" s="127">
        <f>C10*J10/100</f>
        <v/>
      </c>
      <c r="L10" s="25" t="n">
        <v>2830</v>
      </c>
      <c r="M10" s="26">
        <f>C10*L10/100</f>
        <v/>
      </c>
      <c r="N10" s="25" t="n">
        <v>15000</v>
      </c>
      <c r="O10" s="27">
        <f>C10*N10/100</f>
        <v/>
      </c>
      <c r="P10" s="128">
        <f>C10/100*$P$2</f>
        <v/>
      </c>
    </row>
    <row r="11">
      <c r="A11" s="28" t="n">
        <v>6</v>
      </c>
      <c r="B11" s="34" t="inlineStr">
        <is>
          <t>Tepung ikan lokal</t>
        </is>
      </c>
      <c r="C11" s="33" t="n"/>
      <c r="D11" s="30" t="n">
        <v>44.2</v>
      </c>
      <c r="E11" s="23">
        <f>C11*D11/100</f>
        <v/>
      </c>
      <c r="F11" s="30" t="n">
        <v>6.97</v>
      </c>
      <c r="G11" s="24">
        <f>C11*F11/100</f>
        <v/>
      </c>
      <c r="H11" s="30" t="n">
        <v>2.7</v>
      </c>
      <c r="I11" s="24">
        <f>C11*H11/100</f>
        <v/>
      </c>
      <c r="J11" s="126" t="n">
        <v>42.26</v>
      </c>
      <c r="K11" s="127">
        <f>C11*J11/100</f>
        <v/>
      </c>
      <c r="L11" s="31" t="n">
        <v>2830</v>
      </c>
      <c r="M11" s="26">
        <f>C11*L11/100</f>
        <v/>
      </c>
      <c r="N11" s="31" t="n">
        <v>9000</v>
      </c>
      <c r="O11" s="27">
        <f>C11*N11/100</f>
        <v/>
      </c>
      <c r="P11" s="128">
        <f>C11/100*$P$2</f>
        <v/>
      </c>
    </row>
    <row r="12">
      <c r="A12" s="19" t="n">
        <v>7</v>
      </c>
      <c r="B12" s="32" t="inlineStr">
        <is>
          <t>Tepung ikan udang</t>
        </is>
      </c>
      <c r="C12" s="33" t="n"/>
      <c r="D12" s="22" t="n">
        <v>32</v>
      </c>
      <c r="E12" s="23">
        <f>C12*D12/100</f>
        <v/>
      </c>
      <c r="F12" s="22" t="n">
        <v>6</v>
      </c>
      <c r="G12" s="24">
        <f>C12*F12/100</f>
        <v/>
      </c>
      <c r="H12" s="22" t="n">
        <v>4</v>
      </c>
      <c r="I12" s="24">
        <f>C12*H12/100</f>
        <v/>
      </c>
      <c r="J12" s="126" t="n">
        <v>12</v>
      </c>
      <c r="K12" s="127">
        <f>C12*J12/100</f>
        <v/>
      </c>
      <c r="L12" s="25" t="n"/>
      <c r="M12" s="26">
        <f>C12*L12/100</f>
        <v/>
      </c>
      <c r="N12" s="25" t="n">
        <v>7700</v>
      </c>
      <c r="O12" s="27">
        <f>C12*N12/100</f>
        <v/>
      </c>
      <c r="P12" s="128">
        <f>C12/100*$P$2</f>
        <v/>
      </c>
    </row>
    <row r="13">
      <c r="A13" s="28" t="n">
        <v>8</v>
      </c>
      <c r="B13" s="29" t="inlineStr">
        <is>
          <t>Bungkil sawit</t>
        </is>
      </c>
      <c r="C13" s="21" t="n">
        <v>10</v>
      </c>
      <c r="D13" s="30" t="n">
        <v>16.7</v>
      </c>
      <c r="E13" s="23">
        <f>C13*D13/100</f>
        <v/>
      </c>
      <c r="F13" s="30" t="n">
        <v>9.199999999999999</v>
      </c>
      <c r="G13" s="24">
        <f>C13*F13/100</f>
        <v/>
      </c>
      <c r="H13" s="30" t="n">
        <v>19.8</v>
      </c>
      <c r="I13" s="24">
        <f>C13*H13/100</f>
        <v/>
      </c>
      <c r="J13" s="126" t="n">
        <v>4.7</v>
      </c>
      <c r="K13" s="127">
        <f>C13*J13/100</f>
        <v/>
      </c>
      <c r="L13" s="31" t="n">
        <v>2650</v>
      </c>
      <c r="M13" s="26">
        <f>C13*L13/100</f>
        <v/>
      </c>
      <c r="N13" s="31" t="n">
        <v>3000</v>
      </c>
      <c r="O13" s="27">
        <f>C13*N13/100</f>
        <v/>
      </c>
      <c r="P13" s="128">
        <f>C13/100*$P$2</f>
        <v/>
      </c>
    </row>
    <row r="14">
      <c r="A14" s="19" t="n">
        <v>9</v>
      </c>
      <c r="B14" s="20" t="inlineStr">
        <is>
          <t>Corn gluten meal (CGM)</t>
        </is>
      </c>
      <c r="C14" s="21" t="n">
        <v>8</v>
      </c>
      <c r="D14" s="22" t="n">
        <v>64</v>
      </c>
      <c r="E14" s="23">
        <f>C14*D14/100</f>
        <v/>
      </c>
      <c r="F14" s="22" t="n">
        <v>2.91</v>
      </c>
      <c r="G14" s="24">
        <f>C14*F14/100</f>
        <v/>
      </c>
      <c r="H14" s="22" t="n">
        <v>0.8</v>
      </c>
      <c r="I14" s="24">
        <f>C14*H14/100</f>
        <v/>
      </c>
      <c r="J14" s="126" t="n">
        <v>2.68</v>
      </c>
      <c r="K14" s="127">
        <f>C14*J14/100</f>
        <v/>
      </c>
      <c r="L14" s="25" t="n">
        <v>3720</v>
      </c>
      <c r="M14" s="26">
        <f>C14*L14/100</f>
        <v/>
      </c>
      <c r="N14" s="25" t="n">
        <v>10000</v>
      </c>
      <c r="O14" s="27">
        <f>C14*N14/100</f>
        <v/>
      </c>
      <c r="P14" s="128">
        <f>C14/100*$P$2</f>
        <v/>
      </c>
    </row>
    <row r="15">
      <c r="A15" s="28" t="n">
        <v>10</v>
      </c>
      <c r="B15" s="29" t="inlineStr">
        <is>
          <t>Bungkil kelapa</t>
        </is>
      </c>
      <c r="C15" s="21" t="n">
        <v>6</v>
      </c>
      <c r="D15" s="30" t="n">
        <v>18</v>
      </c>
      <c r="E15" s="23">
        <f>C15*D15/100</f>
        <v/>
      </c>
      <c r="F15" s="30" t="n">
        <v>6</v>
      </c>
      <c r="G15" s="24">
        <f>C15*F15/100</f>
        <v/>
      </c>
      <c r="H15" s="30" t="n">
        <v>17.33</v>
      </c>
      <c r="I15" s="24">
        <f>C15*H15/100</f>
        <v/>
      </c>
      <c r="J15" s="126" t="n">
        <v>6.65</v>
      </c>
      <c r="K15" s="127">
        <f>C15*J15/100</f>
        <v/>
      </c>
      <c r="L15" s="31" t="n">
        <v>2500</v>
      </c>
      <c r="M15" s="26">
        <f>C15*L15/100</f>
        <v/>
      </c>
      <c r="N15" s="31" t="n">
        <v>4500</v>
      </c>
      <c r="O15" s="27">
        <f>C15*N15/100</f>
        <v/>
      </c>
      <c r="P15" s="128">
        <f>C15/100*$P$2</f>
        <v/>
      </c>
    </row>
    <row r="16">
      <c r="A16" s="19" t="n">
        <v>11</v>
      </c>
      <c r="B16" s="32" t="inlineStr">
        <is>
          <t>Jagung</t>
        </is>
      </c>
      <c r="C16" s="33" t="n"/>
      <c r="D16" s="22" t="n">
        <v>8</v>
      </c>
      <c r="E16" s="23">
        <f>C16*D16/100</f>
        <v/>
      </c>
      <c r="F16" s="22" t="n">
        <v>3.8</v>
      </c>
      <c r="G16" s="24">
        <f>C16*F16/100</f>
        <v/>
      </c>
      <c r="H16" s="22" t="n">
        <v>2.2</v>
      </c>
      <c r="I16" s="24">
        <f>C16*H16/100</f>
        <v/>
      </c>
      <c r="J16" s="126" t="n">
        <v>1.76</v>
      </c>
      <c r="K16" s="127">
        <f>C16*J16/100</f>
        <v/>
      </c>
      <c r="L16" s="25" t="n">
        <v>3300</v>
      </c>
      <c r="M16" s="26">
        <f>C16*L16/100</f>
        <v/>
      </c>
      <c r="N16" s="25" t="n">
        <v>6000</v>
      </c>
      <c r="O16" s="27">
        <f>C16*N16/100</f>
        <v/>
      </c>
      <c r="P16" s="128">
        <f>C16/100*$P$2</f>
        <v/>
      </c>
    </row>
    <row r="17">
      <c r="A17" s="28" t="n">
        <v>12</v>
      </c>
      <c r="B17" s="34" t="inlineStr">
        <is>
          <t>Indigofera</t>
        </is>
      </c>
      <c r="C17" s="33" t="n"/>
      <c r="D17" s="30" t="n">
        <v>24.17</v>
      </c>
      <c r="E17" s="23">
        <f>C17*D17/100</f>
        <v/>
      </c>
      <c r="F17" s="30" t="n">
        <v>3.7</v>
      </c>
      <c r="G17" s="24">
        <f>C17*F17/100</f>
        <v/>
      </c>
      <c r="H17" s="30" t="n">
        <v>13.9</v>
      </c>
      <c r="I17" s="24">
        <f>C17*H17/100</f>
        <v/>
      </c>
      <c r="J17" s="126" t="n">
        <v>6.41</v>
      </c>
      <c r="K17" s="127">
        <f>C17*J17/100</f>
        <v/>
      </c>
      <c r="L17" s="31" t="n">
        <v>3300</v>
      </c>
      <c r="M17" s="26">
        <f>C17*L17/100</f>
        <v/>
      </c>
      <c r="N17" s="31" t="n">
        <v>6000</v>
      </c>
      <c r="O17" s="27">
        <f>C17*N17/100</f>
        <v/>
      </c>
      <c r="P17" s="128">
        <f>C17/100*$P$2</f>
        <v/>
      </c>
    </row>
    <row r="18">
      <c r="A18" s="19" t="n">
        <v>13</v>
      </c>
      <c r="B18" s="20" t="inlineStr">
        <is>
          <t>Dedak halus</t>
        </is>
      </c>
      <c r="C18" s="21" t="n">
        <v>16</v>
      </c>
      <c r="D18" s="22" t="n">
        <v>9.880000000000001</v>
      </c>
      <c r="E18" s="23">
        <f>C18*D18/100</f>
        <v/>
      </c>
      <c r="F18" s="22" t="n">
        <v>3.17</v>
      </c>
      <c r="G18" s="24">
        <f>C18*F18/100</f>
        <v/>
      </c>
      <c r="H18" s="22" t="n">
        <v>8</v>
      </c>
      <c r="I18" s="24">
        <f>C18*H18/100</f>
        <v/>
      </c>
      <c r="J18" s="126" t="n">
        <v>14.22</v>
      </c>
      <c r="K18" s="127">
        <f>C18*J18/100</f>
        <v/>
      </c>
      <c r="L18" s="25" t="n">
        <v>3011</v>
      </c>
      <c r="M18" s="26">
        <f>C18*L18/100</f>
        <v/>
      </c>
      <c r="N18" s="25" t="n">
        <v>4500</v>
      </c>
      <c r="O18" s="27">
        <f>C18*N18/100</f>
        <v/>
      </c>
      <c r="P18" s="128">
        <f>C18/100*$P$2</f>
        <v/>
      </c>
    </row>
    <row r="19">
      <c r="A19" s="28" t="n">
        <v>14</v>
      </c>
      <c r="B19" s="34" t="inlineStr">
        <is>
          <t>Pollard</t>
        </is>
      </c>
      <c r="C19" s="33" t="n"/>
      <c r="D19" s="30" t="n">
        <v>12.68</v>
      </c>
      <c r="E19" s="23">
        <f>C19*D19/100</f>
        <v/>
      </c>
      <c r="F19" s="30" t="n">
        <v>4</v>
      </c>
      <c r="G19" s="24">
        <f>C19*F19/100</f>
        <v/>
      </c>
      <c r="H19" s="30" t="n">
        <v>15</v>
      </c>
      <c r="I19" s="24">
        <f>C19*H19/100</f>
        <v/>
      </c>
      <c r="J19" s="126" t="n">
        <v>4</v>
      </c>
      <c r="K19" s="127">
        <f>C19*J19/100</f>
        <v/>
      </c>
      <c r="L19" s="31" t="n">
        <v>3000</v>
      </c>
      <c r="M19" s="26">
        <f>C19*L19/100</f>
        <v/>
      </c>
      <c r="N19" s="31" t="n">
        <v>4050</v>
      </c>
      <c r="O19" s="27">
        <f>C19*N19/100</f>
        <v/>
      </c>
      <c r="P19" s="128">
        <f>C19/100*$P$2</f>
        <v/>
      </c>
    </row>
    <row r="20">
      <c r="A20" s="19" t="n">
        <v>15</v>
      </c>
      <c r="B20" s="32" t="inlineStr">
        <is>
          <t>Tapioka</t>
        </is>
      </c>
      <c r="C20" s="33" t="n"/>
      <c r="D20" s="22" t="n">
        <v>2.5</v>
      </c>
      <c r="E20" s="23">
        <f>C20*D20/100</f>
        <v/>
      </c>
      <c r="F20" s="22" t="n">
        <v>0.7</v>
      </c>
      <c r="G20" s="24">
        <f>C20*F20/100</f>
        <v/>
      </c>
      <c r="H20" s="22" t="n">
        <v>4.6</v>
      </c>
      <c r="I20" s="24">
        <f>C20*H20/100</f>
        <v/>
      </c>
      <c r="J20" s="126" t="n">
        <v>2.5</v>
      </c>
      <c r="K20" s="127">
        <f>C20*J20/100</f>
        <v/>
      </c>
      <c r="L20" s="25" t="n">
        <v>3100</v>
      </c>
      <c r="M20" s="26">
        <f>C20*L20/100</f>
        <v/>
      </c>
      <c r="N20" s="25" t="n">
        <v>11000</v>
      </c>
      <c r="O20" s="27">
        <f>C20*N20/100</f>
        <v/>
      </c>
      <c r="P20" s="128">
        <f>C20/100*$P$2</f>
        <v/>
      </c>
    </row>
    <row r="21">
      <c r="A21" s="28" t="n">
        <v>16</v>
      </c>
      <c r="B21" s="29" t="inlineStr">
        <is>
          <t>CPO</t>
        </is>
      </c>
      <c r="C21" s="21" t="n">
        <v>3</v>
      </c>
      <c r="D21" s="30" t="n">
        <v>0</v>
      </c>
      <c r="E21" s="23">
        <f>C21*D21/100</f>
        <v/>
      </c>
      <c r="F21" s="30" t="n">
        <v>99</v>
      </c>
      <c r="G21" s="24">
        <f>C21*F21/100</f>
        <v/>
      </c>
      <c r="H21" s="30" t="n">
        <v>0</v>
      </c>
      <c r="I21" s="24">
        <f>C21*H21/100</f>
        <v/>
      </c>
      <c r="J21" s="126" t="n">
        <v>0.5</v>
      </c>
      <c r="K21" s="127">
        <f>C21*J21/100</f>
        <v/>
      </c>
      <c r="L21" s="31" t="n">
        <v>7500</v>
      </c>
      <c r="M21" s="26">
        <f>C21*L21/100</f>
        <v/>
      </c>
      <c r="N21" s="31" t="n">
        <v>20000</v>
      </c>
      <c r="O21" s="27">
        <f>C21*N21/100</f>
        <v/>
      </c>
      <c r="P21" s="128">
        <f>C21/100*$P$2</f>
        <v/>
      </c>
    </row>
    <row r="22">
      <c r="A22" s="19" t="n">
        <v>17</v>
      </c>
      <c r="B22" s="32" t="inlineStr">
        <is>
          <t>Kapur</t>
        </is>
      </c>
      <c r="C22" s="33" t="n"/>
      <c r="D22" s="22" t="n">
        <v>0</v>
      </c>
      <c r="E22" s="23">
        <f>C22*D22/100</f>
        <v/>
      </c>
      <c r="F22" s="22" t="n">
        <v>0</v>
      </c>
      <c r="G22" s="24">
        <f>C22*F22/100</f>
        <v/>
      </c>
      <c r="H22" s="22" t="n">
        <v>0</v>
      </c>
      <c r="I22" s="24">
        <f>C22*H22/100</f>
        <v/>
      </c>
      <c r="J22" s="126" t="n">
        <v>0</v>
      </c>
      <c r="K22" s="127">
        <f>C22*J22/100</f>
        <v/>
      </c>
      <c r="L22" s="25" t="n"/>
      <c r="M22" s="26">
        <f>C22*L22/100</f>
        <v/>
      </c>
      <c r="N22" s="25" t="n">
        <v>1200</v>
      </c>
      <c r="O22" s="27">
        <f>C22*N22/100</f>
        <v/>
      </c>
      <c r="P22" s="128">
        <f>C22/100*$P$2</f>
        <v/>
      </c>
    </row>
    <row r="23">
      <c r="A23" s="28" t="n">
        <v>18</v>
      </c>
      <c r="B23" s="29" t="inlineStr">
        <is>
          <t>Cc</t>
        </is>
      </c>
      <c r="C23" s="21" t="n">
        <v>0.2</v>
      </c>
      <c r="D23" s="30" t="n">
        <v>20</v>
      </c>
      <c r="E23" s="23">
        <f>C23*D23/100</f>
        <v/>
      </c>
      <c r="F23" s="30" t="n">
        <v>0</v>
      </c>
      <c r="G23" s="24">
        <f>C23*F23/100</f>
        <v/>
      </c>
      <c r="H23" s="30" t="n">
        <v>0</v>
      </c>
      <c r="I23" s="24">
        <f>C23*H23/100</f>
        <v/>
      </c>
      <c r="J23" s="126" t="n">
        <v>5</v>
      </c>
      <c r="K23" s="127">
        <f>C23*J23/100</f>
        <v/>
      </c>
      <c r="L23" s="31" t="n">
        <v>3990</v>
      </c>
      <c r="M23" s="26">
        <f>C23*L23/100</f>
        <v/>
      </c>
      <c r="N23" s="31" t="n">
        <v>50000</v>
      </c>
      <c r="O23" s="27">
        <f>C23*N23/100</f>
        <v/>
      </c>
      <c r="P23" s="128">
        <f>C23/100*$P$2</f>
        <v/>
      </c>
    </row>
    <row r="24">
      <c r="A24" s="19" t="n">
        <v>19</v>
      </c>
      <c r="B24" s="32" t="inlineStr">
        <is>
          <t>Yeast</t>
        </is>
      </c>
      <c r="C24" s="33" t="n"/>
      <c r="D24" s="22" t="n">
        <v>58</v>
      </c>
      <c r="E24" s="23">
        <f>C24*D24/100</f>
        <v/>
      </c>
      <c r="F24" s="22" t="n">
        <v>0</v>
      </c>
      <c r="G24" s="24">
        <f>C24*F24/100</f>
        <v/>
      </c>
      <c r="H24" s="22" t="n">
        <v>0</v>
      </c>
      <c r="I24" s="24">
        <f>C24*H24/100</f>
        <v/>
      </c>
      <c r="J24" s="126" t="n">
        <v>0</v>
      </c>
      <c r="K24" s="127">
        <f>C24*J24/100</f>
        <v/>
      </c>
      <c r="L24" s="25" t="n">
        <v>5020</v>
      </c>
      <c r="M24" s="26">
        <f>C24*L24/100</f>
        <v/>
      </c>
      <c r="N24" s="25" t="n">
        <v>77000</v>
      </c>
      <c r="O24" s="27">
        <f>C24*N24/100</f>
        <v/>
      </c>
      <c r="P24" s="128">
        <f>C24/100*$P$2</f>
        <v/>
      </c>
    </row>
    <row r="25">
      <c r="A25" s="28" t="n">
        <v>20</v>
      </c>
      <c r="B25" s="29" t="inlineStr">
        <is>
          <t>Premix</t>
        </is>
      </c>
      <c r="C25" s="21" t="n">
        <v>0.5</v>
      </c>
      <c r="D25" s="30" t="n">
        <v>0</v>
      </c>
      <c r="E25" s="23">
        <f>C25*D25/100</f>
        <v/>
      </c>
      <c r="F25" s="30" t="n">
        <v>0</v>
      </c>
      <c r="G25" s="24">
        <f>C25*F25/100</f>
        <v/>
      </c>
      <c r="H25" s="30" t="n">
        <v>0</v>
      </c>
      <c r="I25" s="24">
        <f>C25*H25/100</f>
        <v/>
      </c>
      <c r="J25" s="126" t="n">
        <v>0</v>
      </c>
      <c r="K25" s="127">
        <f>C25*J25/100</f>
        <v/>
      </c>
      <c r="L25" s="31" t="n"/>
      <c r="M25" s="26">
        <f>C25*L25/100</f>
        <v/>
      </c>
      <c r="N25" s="31" t="n">
        <v>25000</v>
      </c>
      <c r="O25" s="27">
        <f>C25*N25/100</f>
        <v/>
      </c>
      <c r="P25" s="128">
        <f>C25/100*$P$2</f>
        <v/>
      </c>
    </row>
    <row r="26">
      <c r="A26" s="19" t="n">
        <v>21</v>
      </c>
      <c r="B26" s="32" t="inlineStr">
        <is>
          <t>Konsentrat</t>
        </is>
      </c>
      <c r="C26" s="33" t="n"/>
      <c r="D26" s="22" t="n">
        <v>16.7</v>
      </c>
      <c r="E26" s="23">
        <f>C26*D26/100</f>
        <v/>
      </c>
      <c r="F26" s="22" t="n">
        <v>9.199999999999999</v>
      </c>
      <c r="G26" s="24">
        <f>C26*F26/100</f>
        <v/>
      </c>
      <c r="H26" s="22" t="n">
        <v>19.8</v>
      </c>
      <c r="I26" s="24">
        <f>C26*H26/100</f>
        <v/>
      </c>
      <c r="J26" s="126" t="n">
        <v>4.7</v>
      </c>
      <c r="K26" s="127">
        <f>C26*J26/100</f>
        <v/>
      </c>
      <c r="L26" s="25" t="n">
        <v>2650</v>
      </c>
      <c r="M26" s="26">
        <f>C26*L26/100</f>
        <v/>
      </c>
      <c r="N26" s="25" t="n">
        <v>2600</v>
      </c>
      <c r="O26" s="27">
        <f>C26*N26/100</f>
        <v/>
      </c>
      <c r="P26" s="128">
        <f>C26/100*$P$2</f>
        <v/>
      </c>
    </row>
    <row r="27">
      <c r="A27" s="28" t="n">
        <v>22</v>
      </c>
      <c r="B27" s="29" t="inlineStr">
        <is>
          <t>L-Lysin</t>
        </is>
      </c>
      <c r="C27" s="21" t="n">
        <v>1</v>
      </c>
      <c r="D27" s="30" t="n">
        <v>95.8</v>
      </c>
      <c r="E27" s="23">
        <f>C27*D27/100</f>
        <v/>
      </c>
      <c r="F27" s="30" t="n">
        <v>0</v>
      </c>
      <c r="G27" s="24">
        <f>C27*F27/100</f>
        <v/>
      </c>
      <c r="H27" s="30" t="n">
        <v>0</v>
      </c>
      <c r="I27" s="24">
        <f>C27*H27/100</f>
        <v/>
      </c>
      <c r="J27" s="126" t="n">
        <v>0</v>
      </c>
      <c r="K27" s="127">
        <f>C27*J27/100</f>
        <v/>
      </c>
      <c r="L27" s="31" t="n">
        <v>3990</v>
      </c>
      <c r="M27" s="26">
        <f>C27*L27/100</f>
        <v/>
      </c>
      <c r="N27" s="31" t="n">
        <v>50000</v>
      </c>
      <c r="O27" s="27">
        <f>C27*N27/100</f>
        <v/>
      </c>
      <c r="P27" s="128">
        <f>C27/100*$P$2</f>
        <v/>
      </c>
    </row>
    <row r="28">
      <c r="A28" s="19" t="n">
        <v>23</v>
      </c>
      <c r="B28" s="20" t="inlineStr">
        <is>
          <t>DL-Methionine</t>
        </is>
      </c>
      <c r="C28" s="21" t="n">
        <v>0.3</v>
      </c>
      <c r="D28" s="22" t="n">
        <v>58</v>
      </c>
      <c r="E28" s="23">
        <f>C28*D28/100</f>
        <v/>
      </c>
      <c r="F28" s="22" t="n">
        <v>0</v>
      </c>
      <c r="G28" s="24">
        <f>C28*F28/100</f>
        <v/>
      </c>
      <c r="H28" s="22" t="n">
        <v>0</v>
      </c>
      <c r="I28" s="24">
        <f>C28*H28/100</f>
        <v/>
      </c>
      <c r="J28" s="126" t="n">
        <v>0</v>
      </c>
      <c r="K28" s="127">
        <f>C28*J28/100</f>
        <v/>
      </c>
      <c r="L28" s="25" t="n">
        <v>5020</v>
      </c>
      <c r="M28" s="26">
        <f>C28*L28/100</f>
        <v/>
      </c>
      <c r="N28" s="25" t="n">
        <v>90000</v>
      </c>
      <c r="O28" s="27">
        <f>C28*N28/100</f>
        <v/>
      </c>
      <c r="P28" s="128">
        <f>C28/100*$P$2</f>
        <v/>
      </c>
    </row>
    <row r="29">
      <c r="A29" s="28" t="n">
        <v>24</v>
      </c>
      <c r="B29" s="34" t="inlineStr">
        <is>
          <t>Threonine</t>
        </is>
      </c>
      <c r="C29" s="33" t="n"/>
      <c r="D29" s="30" t="n">
        <v>72.59999999999999</v>
      </c>
      <c r="E29" s="23">
        <f>C29*D29/100</f>
        <v/>
      </c>
      <c r="F29" s="30" t="n">
        <v>0</v>
      </c>
      <c r="G29" s="24">
        <f>C29*F29/100</f>
        <v/>
      </c>
      <c r="H29" s="30" t="n">
        <v>0</v>
      </c>
      <c r="I29" s="24">
        <f>C29*H29/100</f>
        <v/>
      </c>
      <c r="J29" s="126" t="n">
        <v>0</v>
      </c>
      <c r="K29" s="127">
        <f>C29*J29/100</f>
        <v/>
      </c>
      <c r="L29" s="31" t="n">
        <v>3764</v>
      </c>
      <c r="M29" s="26">
        <f>C29*L29/100</f>
        <v/>
      </c>
      <c r="N29" s="31" t="n">
        <v>90000</v>
      </c>
      <c r="O29" s="27">
        <f>C29*N29/100</f>
        <v/>
      </c>
      <c r="P29" s="128">
        <f>C29/100*$P$2</f>
        <v/>
      </c>
    </row>
    <row r="30">
      <c r="A30" s="19" t="n">
        <v>25</v>
      </c>
      <c r="B30" s="20" t="inlineStr">
        <is>
          <t>Toxin binder</t>
        </is>
      </c>
      <c r="C30" s="21" t="n">
        <v>0.5</v>
      </c>
      <c r="D30" s="22" t="n">
        <v>0</v>
      </c>
      <c r="E30" s="23">
        <f>C30*D30/100</f>
        <v/>
      </c>
      <c r="F30" s="22" t="n">
        <v>2</v>
      </c>
      <c r="G30" s="24">
        <f>C30*F30/100</f>
        <v/>
      </c>
      <c r="H30" s="22" t="n">
        <v>0</v>
      </c>
      <c r="I30" s="24">
        <f>C30*H30/100</f>
        <v/>
      </c>
      <c r="J30" s="126" t="n">
        <v>70</v>
      </c>
      <c r="K30" s="127">
        <f>C30*J30/100</f>
        <v/>
      </c>
      <c r="L30" s="25" t="n"/>
      <c r="M30" s="26">
        <f>C30*L30/100</f>
        <v/>
      </c>
      <c r="N30" s="25" t="n">
        <v>12000</v>
      </c>
      <c r="O30" s="27">
        <f>C30*N30/100</f>
        <v/>
      </c>
      <c r="P30" s="128">
        <f>C30/100*$P$2</f>
        <v/>
      </c>
    </row>
    <row r="31">
      <c r="A31" s="28" t="n">
        <v>26</v>
      </c>
      <c r="B31" s="29" t="inlineStr">
        <is>
          <t>Lignin sulfonate</t>
        </is>
      </c>
      <c r="C31" s="21" t="n">
        <v>1.5</v>
      </c>
      <c r="D31" s="30" t="n">
        <v>0</v>
      </c>
      <c r="E31" s="23">
        <f>C31*D31/100</f>
        <v/>
      </c>
      <c r="F31" s="30" t="n">
        <v>0</v>
      </c>
      <c r="G31" s="24">
        <f>C31*F31/100</f>
        <v/>
      </c>
      <c r="H31" s="30" t="n">
        <v>10</v>
      </c>
      <c r="I31" s="24">
        <f>C31*H31/100</f>
        <v/>
      </c>
      <c r="J31" s="126" t="n">
        <v>35</v>
      </c>
      <c r="K31" s="127">
        <f>C31*J31/100</f>
        <v/>
      </c>
      <c r="L31" s="31" t="n"/>
      <c r="M31" s="26">
        <f>C31*L31/100</f>
        <v/>
      </c>
      <c r="N31" s="31" t="n">
        <v>50000</v>
      </c>
      <c r="O31" s="27">
        <f>C31*N31/100</f>
        <v/>
      </c>
      <c r="P31" s="128">
        <f>C31/100*$P$2</f>
        <v/>
      </c>
    </row>
    <row r="32">
      <c r="A32" s="19" t="n">
        <v>27</v>
      </c>
      <c r="B32" s="32" t="inlineStr">
        <is>
          <t>Enzim</t>
        </is>
      </c>
      <c r="C32" s="33" t="n"/>
      <c r="D32" s="22" t="n">
        <v>7</v>
      </c>
      <c r="E32" s="23">
        <f>C32*D32/100</f>
        <v/>
      </c>
      <c r="F32" s="22" t="n">
        <v>0</v>
      </c>
      <c r="G32" s="24">
        <f>C32*F32/100</f>
        <v/>
      </c>
      <c r="H32" s="22" t="n">
        <v>1</v>
      </c>
      <c r="I32" s="24">
        <f>C32*H32/100</f>
        <v/>
      </c>
      <c r="J32" s="126" t="n">
        <v>5</v>
      </c>
      <c r="K32" s="127">
        <f>C32*J32/100</f>
        <v/>
      </c>
      <c r="L32" s="25" t="n"/>
      <c r="M32" s="26">
        <f>C32*L32/100</f>
        <v/>
      </c>
      <c r="N32" s="25" t="n">
        <v>85000</v>
      </c>
      <c r="O32" s="27">
        <f>C32*N32/100</f>
        <v/>
      </c>
      <c r="P32" s="128">
        <f>C32/100*$P$2</f>
        <v/>
      </c>
    </row>
    <row r="33" ht="25.5" customHeight="1">
      <c r="A33" s="35" t="inlineStr">
        <is>
          <t>TOTAL</t>
        </is>
      </c>
      <c r="B33" s="35" t="n"/>
      <c r="C33" s="36">
        <f>SUM(C6:C32)</f>
        <v/>
      </c>
      <c r="D33" s="35">
        <f>SUM(D6:D32)</f>
        <v/>
      </c>
      <c r="E33" s="37">
        <f>SUM(E6:E32)</f>
        <v/>
      </c>
      <c r="F33" s="35">
        <f>SUM(F6:F32)</f>
        <v/>
      </c>
      <c r="G33" s="37">
        <f>SUM(G6:G32)</f>
        <v/>
      </c>
      <c r="H33" s="35">
        <f>SUM(H6:H32)</f>
        <v/>
      </c>
      <c r="I33" s="37">
        <f>SUM(I6:I32)</f>
        <v/>
      </c>
      <c r="J33" s="129">
        <f>SUM(J6:J32)</f>
        <v/>
      </c>
      <c r="K33" s="130">
        <f>SUM(K6:K32)</f>
        <v/>
      </c>
      <c r="L33" s="35">
        <f>SUM(L6:L32)</f>
        <v/>
      </c>
      <c r="M33" s="38">
        <f>SUM(M6:M32)</f>
        <v/>
      </c>
      <c r="N33" s="35" t="inlineStr">
        <is>
          <t>Harga Pokok</t>
        </is>
      </c>
      <c r="O33" s="39">
        <f>SUM(O6:O32)</f>
        <v/>
      </c>
      <c r="P33" s="131">
        <f>SUM(P6:P32)</f>
        <v/>
      </c>
    </row>
    <row r="35" ht="19.5" customHeight="1">
      <c r="A35" s="12" t="inlineStr">
        <is>
          <t>BATAS &amp; TARGET NUTRISI</t>
        </is>
      </c>
    </row>
    <row r="36" ht="21.75" customHeight="1">
      <c r="A36" s="15" t="inlineStr">
        <is>
          <t>Label</t>
        </is>
      </c>
      <c r="B36" s="15" t="inlineStr">
        <is>
          <t>Keterangan</t>
        </is>
      </c>
      <c r="C36" s="15" t="inlineStr">
        <is>
          <t>Total Proporsi</t>
        </is>
      </c>
      <c r="D36" s="15" t="inlineStr">
        <is>
          <t>—</t>
        </is>
      </c>
      <c r="E36" s="15" t="inlineStr">
        <is>
          <t>Total Protein (%)</t>
        </is>
      </c>
      <c r="F36" s="15" t="inlineStr">
        <is>
          <t>—</t>
        </is>
      </c>
      <c r="G36" s="15" t="inlineStr">
        <is>
          <t>Total Lemak (%)</t>
        </is>
      </c>
      <c r="H36" s="15" t="inlineStr">
        <is>
          <t>—</t>
        </is>
      </c>
      <c r="I36" s="15" t="inlineStr">
        <is>
          <t>Total SK (%)</t>
        </is>
      </c>
      <c r="J36" s="132" t="inlineStr">
        <is>
          <t>—</t>
        </is>
      </c>
      <c r="K36" s="133" t="inlineStr">
        <is>
          <t>Total Abu (%)</t>
        </is>
      </c>
      <c r="L36" s="15" t="inlineStr">
        <is>
          <t>—</t>
        </is>
      </c>
      <c r="M36" s="15" t="inlineStr">
        <is>
          <t>Total ME (kkal/kg)</t>
        </is>
      </c>
      <c r="N36" s="15" t="inlineStr">
        <is>
          <t>—</t>
        </is>
      </c>
      <c r="O36" s="15" t="inlineStr">
        <is>
          <t>Harga Pokok (Rp/kg)</t>
        </is>
      </c>
    </row>
    <row r="37" ht="21.75" customHeight="1">
      <c r="A37" s="40" t="inlineStr">
        <is>
          <t>AKTUAL</t>
        </is>
      </c>
      <c r="B37" s="40" t="inlineStr">
        <is>
          <t>(dari formula di atas)</t>
        </is>
      </c>
      <c r="C37" s="41">
        <f>C33</f>
        <v/>
      </c>
      <c r="D37" s="40" t="n"/>
      <c r="E37" s="42">
        <f>E33</f>
        <v/>
      </c>
      <c r="F37" s="40" t="n"/>
      <c r="G37" s="42">
        <f>G33</f>
        <v/>
      </c>
      <c r="H37" s="40" t="n"/>
      <c r="I37" s="42">
        <f>I33</f>
        <v/>
      </c>
      <c r="K37" s="134">
        <f>K33</f>
        <v/>
      </c>
      <c r="L37" s="40" t="n"/>
      <c r="M37" s="43">
        <f>M33</f>
        <v/>
      </c>
      <c r="N37" s="40" t="n"/>
      <c r="O37" s="44">
        <f>O33</f>
        <v/>
      </c>
    </row>
    <row r="38" ht="21.75" customHeight="1">
      <c r="A38" s="45" t="inlineStr">
        <is>
          <t>TARGET MIN</t>
        </is>
      </c>
      <c r="B38" s="45" t="inlineStr">
        <is>
          <t>Isi target kamu di sini →</t>
        </is>
      </c>
      <c r="C38" s="46" t="n">
        <v>100</v>
      </c>
      <c r="D38" s="45" t="n"/>
      <c r="E38" s="47" t="n">
        <v>28</v>
      </c>
      <c r="F38" s="45" t="n"/>
      <c r="G38" s="47" t="n">
        <v>3</v>
      </c>
      <c r="H38" s="45" t="n"/>
      <c r="I38" s="47" t="n"/>
      <c r="L38" s="45" t="n"/>
      <c r="M38" s="48" t="n">
        <v>2650</v>
      </c>
      <c r="N38" s="45" t="n"/>
      <c r="O38" s="45" t="n"/>
    </row>
    <row r="39" ht="21.75" customHeight="1">
      <c r="A39" s="35" t="inlineStr">
        <is>
          <t>STATUS</t>
        </is>
      </c>
      <c r="B39" s="35" t="inlineStr">
        <is>
          <t>Cek otomatis</t>
        </is>
      </c>
      <c r="C39" s="49">
        <f>IF(C37=100,"✅ 100%","⚠️ "&amp;C37&amp;"%")</f>
        <v/>
      </c>
      <c r="D39" s="50" t="n"/>
      <c r="E39" s="51">
        <f>IF(E37&gt;=E38,"✅ "&amp;E37&amp;"%","⚠️ "&amp;E37&amp;"%")</f>
        <v/>
      </c>
      <c r="F39" s="50" t="n"/>
      <c r="G39" s="51">
        <f>IF(G37&gt;=G38,"✅ "&amp;G37&amp;"%","⚠️ "&amp;G37&amp;"%")</f>
        <v/>
      </c>
      <c r="H39" s="50" t="n"/>
      <c r="I39" s="50" t="n"/>
      <c r="L39" s="50" t="n"/>
      <c r="M39" s="51">
        <f>IF(M37&gt;=M38,"✅ "&amp;M37,"⚠️ "&amp;M37)</f>
        <v/>
      </c>
      <c r="N39" s="50" t="n"/>
      <c r="O39" s="49">
        <f>"Rp "&amp;TEXT(O37,"#,##0")&amp;"/kg"</f>
        <v/>
      </c>
    </row>
    <row r="41" ht="21.75" customHeight="1">
      <c r="A41" s="11" t="inlineStr">
        <is>
          <t>💡 CARA PAKAI: Ubah angka di Kolom C (Proporsi %) → Kolom E, G, I, K, M, O otomatis terhitung. Isi Total Batch (kg) di sel P2 → Kolom P menampilkan kebutuhan bahan per batch (kg). Pastikan Total C = 100% dan Protein ≥ target.</t>
        </is>
      </c>
      <c r="B41" s="135" t="n"/>
      <c r="C41" s="135" t="n"/>
      <c r="D41" s="135" t="n"/>
      <c r="E41" s="135" t="n"/>
      <c r="F41" s="135" t="n"/>
      <c r="G41" s="135" t="n"/>
      <c r="H41" s="135" t="n"/>
      <c r="I41" s="135" t="n"/>
      <c r="J41" s="135" t="n"/>
      <c r="K41" s="135" t="n"/>
      <c r="L41" s="135" t="n"/>
      <c r="M41" s="135" t="n"/>
      <c r="N41" s="135" t="n"/>
      <c r="O41" s="135" t="n"/>
    </row>
    <row r="42" ht="18" customHeight="1">
      <c r="A42" s="10" t="inlineStr">
        <is>
          <t>⚡ KOLOM HIJAU = Otomatis terhitung  |  KOLOM ORANGE = Kamu yang isi  |  TOTAL ROW = Cek keseluruhan formula</t>
        </is>
      </c>
    </row>
  </sheetData>
  <mergeCells count="5">
    <mergeCell ref="A35:O35"/>
    <mergeCell ref="A2:O2"/>
    <mergeCell ref="A42:O42"/>
    <mergeCell ref="A41:O41"/>
    <mergeCell ref="A1:O1"/>
  </mergeCells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6"/>
  <sheetViews>
    <sheetView showGridLines="0" zoomScaleNormal="100" workbookViewId="0">
      <pane xSplit="2" ySplit="3" topLeftCell="C9" activePane="bottomRight" state="frozen"/>
      <selection pane="bottomLeft" activeCell="A4" sqref="A4"/>
      <selection pane="topRight" activeCell="C1" sqref="C1"/>
      <selection pane="bottomRight" activeCell="A1" sqref="A1"/>
    </sheetView>
  </sheetViews>
  <sheetFormatPr baseColWidth="8" defaultColWidth="8.7421875" defaultRowHeight="15"/>
  <cols>
    <col width="4.03515625" customWidth="1" min="1" max="1"/>
    <col width="22.05859375" customWidth="1" min="2" max="2"/>
    <col width="13.046875" customWidth="1" min="3" max="3"/>
    <col width="13.98828125" customWidth="1" min="4" max="5"/>
    <col width="13.046875" customWidth="1" min="6" max="7"/>
    <col width="9.953125" customWidth="1" min="8" max="8"/>
    <col width="13.046875" customWidth="1" min="9" max="9"/>
    <col width="16.0078125" customWidth="1" min="10" max="10"/>
    <col width="13.98828125" customWidth="1" min="11" max="11"/>
    <col width="20.04296875" customWidth="1" min="12" max="12"/>
  </cols>
  <sheetData>
    <row r="1" ht="27.75" customHeight="1">
      <c r="A1" s="9" t="inlineStr">
        <is>
          <t>REFERENSI NILAI NUTRISI BAHAN BAKU — PPBIB</t>
        </is>
      </c>
    </row>
    <row r="2" ht="18" customHeight="1">
      <c r="A2" s="8" t="inlineStr">
        <is>
          <t>Sumber data nutrisi dari file pelatihan PPBIB Oktober 2025. Sesuaikan harga sesuai kondisi pasar lokal.</t>
        </is>
      </c>
    </row>
    <row r="3" ht="36" customHeight="1">
      <c r="A3" s="15" t="inlineStr">
        <is>
          <t>No</t>
        </is>
      </c>
      <c r="B3" s="15" t="inlineStr">
        <is>
          <t>Nama Bahan</t>
        </is>
      </c>
      <c r="C3" s="15" t="inlineStr">
        <is>
          <t>Harga/kg (Rp)</t>
        </is>
      </c>
      <c r="D3" s="15" t="inlineStr">
        <is>
          <t>Bahan Kering (%)</t>
        </is>
      </c>
      <c r="E3" s="15" t="inlineStr">
        <is>
          <t>Protein Kasar (%)</t>
        </is>
      </c>
      <c r="F3" s="15" t="inlineStr">
        <is>
          <t>Lemak Kasar (%)</t>
        </is>
      </c>
      <c r="G3" s="15" t="inlineStr">
        <is>
          <t>Serat Kasar (%)</t>
        </is>
      </c>
      <c r="H3" s="15" t="inlineStr">
        <is>
          <t>Abu (%)</t>
        </is>
      </c>
      <c r="I3" s="15" t="inlineStr">
        <is>
          <t>ME (kkal/kg)</t>
        </is>
      </c>
      <c r="J3" s="15" t="inlineStr">
        <is>
          <t>Harga Protein
(Rp/% protein)</t>
        </is>
      </c>
      <c r="K3" s="15" t="inlineStr">
        <is>
          <t>Kategori</t>
        </is>
      </c>
      <c r="L3" s="15" t="inlineStr">
        <is>
          <t>Catatan</t>
        </is>
      </c>
    </row>
    <row r="4" ht="19.5" customHeight="1">
      <c r="A4" s="52" t="n">
        <v>1</v>
      </c>
      <c r="B4" s="53" t="inlineStr">
        <is>
          <t>Bungkil kedelai</t>
        </is>
      </c>
      <c r="C4" s="54" t="n">
        <v>8500</v>
      </c>
      <c r="D4" s="55" t="n">
        <v>89.25</v>
      </c>
      <c r="E4" s="55" t="n">
        <v>45.53</v>
      </c>
      <c r="F4" s="55" t="n">
        <v>1.76</v>
      </c>
      <c r="G4" s="55" t="n">
        <v>5.89</v>
      </c>
      <c r="H4" s="55" t="n">
        <v>6.24</v>
      </c>
      <c r="I4" s="54" t="n">
        <v>3400</v>
      </c>
      <c r="J4" s="54">
        <f>C4/E4</f>
        <v/>
      </c>
      <c r="K4" s="56" t="inlineStr">
        <is>
          <t>Protein Nabati</t>
        </is>
      </c>
      <c r="L4" s="56" t="n"/>
    </row>
    <row r="5" ht="19.5" customHeight="1">
      <c r="A5" s="57" t="n">
        <v>2</v>
      </c>
      <c r="B5" s="58" t="inlineStr">
        <is>
          <t>Meat bone meal (MBM)</t>
        </is>
      </c>
      <c r="C5" s="59" t="n">
        <v>10000</v>
      </c>
      <c r="D5" s="60" t="n">
        <v>93.68000000000001</v>
      </c>
      <c r="E5" s="60" t="n">
        <v>52.57</v>
      </c>
      <c r="F5" s="60" t="n">
        <v>8.82</v>
      </c>
      <c r="G5" s="60" t="n">
        <v>2.41</v>
      </c>
      <c r="H5" s="60" t="n">
        <v>29.53</v>
      </c>
      <c r="I5" s="59" t="n">
        <v>2375</v>
      </c>
      <c r="J5" s="59">
        <f>C5/E5</f>
        <v/>
      </c>
      <c r="K5" s="61" t="inlineStr">
        <is>
          <t>Protein Hewani</t>
        </is>
      </c>
      <c r="L5" s="61" t="n"/>
    </row>
    <row r="6" ht="19.5" customHeight="1">
      <c r="A6" s="52" t="n">
        <v>3</v>
      </c>
      <c r="B6" s="53" t="inlineStr">
        <is>
          <t>Corn gluten feed</t>
        </is>
      </c>
      <c r="C6" s="54" t="n">
        <v>5000</v>
      </c>
      <c r="D6" s="55" t="n">
        <v>94.51000000000001</v>
      </c>
      <c r="E6" s="55" t="n">
        <v>24.39</v>
      </c>
      <c r="F6" s="55" t="n">
        <v>2.2</v>
      </c>
      <c r="G6" s="55" t="n">
        <v>7.27</v>
      </c>
      <c r="H6" s="55" t="n">
        <v>6.4</v>
      </c>
      <c r="I6" s="54" t="n">
        <v>3720</v>
      </c>
      <c r="J6" s="54">
        <f>C6/E6</f>
        <v/>
      </c>
      <c r="K6" s="56" t="inlineStr">
        <is>
          <t>Protein Nabati</t>
        </is>
      </c>
      <c r="L6" s="56" t="n"/>
    </row>
    <row r="7" ht="19.5" customHeight="1">
      <c r="A7" s="52" t="n">
        <v>4</v>
      </c>
      <c r="B7" s="53" t="inlineStr">
        <is>
          <t>DDGS</t>
        </is>
      </c>
      <c r="C7" s="54" t="n">
        <v>7900</v>
      </c>
      <c r="D7" s="55" t="n">
        <v>88.55</v>
      </c>
      <c r="E7" s="55" t="n">
        <v>30.23</v>
      </c>
      <c r="F7" s="55" t="n">
        <v>5.48</v>
      </c>
      <c r="G7" s="55" t="n">
        <v>8.460000000000001</v>
      </c>
      <c r="H7" s="55" t="n">
        <v>4.87</v>
      </c>
      <c r="I7" s="54" t="n">
        <v>2500</v>
      </c>
      <c r="J7" s="54">
        <f>C7/E7</f>
        <v/>
      </c>
      <c r="K7" s="56" t="inlineStr">
        <is>
          <t>Protein Nabati</t>
        </is>
      </c>
      <c r="L7" s="56" t="n"/>
    </row>
    <row r="8" ht="19.5" customHeight="1">
      <c r="A8" s="57" t="n">
        <v>5</v>
      </c>
      <c r="B8" s="58" t="inlineStr">
        <is>
          <t>Tepung ikan impor</t>
        </is>
      </c>
      <c r="C8" s="59" t="n">
        <v>15000</v>
      </c>
      <c r="D8" s="60" t="n">
        <v>91.90000000000001</v>
      </c>
      <c r="E8" s="60" t="n">
        <v>55</v>
      </c>
      <c r="F8" s="60" t="n">
        <v>7.52</v>
      </c>
      <c r="G8" s="60" t="n">
        <v>0.7</v>
      </c>
      <c r="H8" s="60" t="n">
        <v>26</v>
      </c>
      <c r="I8" s="59" t="n">
        <v>2830</v>
      </c>
      <c r="J8" s="59">
        <f>C8/E8</f>
        <v/>
      </c>
      <c r="K8" s="61" t="inlineStr">
        <is>
          <t>Protein Hewani</t>
        </is>
      </c>
      <c r="L8" s="61" t="n"/>
    </row>
    <row r="9" ht="19.5" customHeight="1">
      <c r="A9" s="57" t="n">
        <v>6</v>
      </c>
      <c r="B9" s="58" t="inlineStr">
        <is>
          <t>Tepung ikan lokal</t>
        </is>
      </c>
      <c r="C9" s="59" t="n">
        <v>9000</v>
      </c>
      <c r="D9" s="60" t="n">
        <v>93.76000000000001</v>
      </c>
      <c r="E9" s="60" t="n">
        <v>44.2</v>
      </c>
      <c r="F9" s="60" t="n">
        <v>6.97</v>
      </c>
      <c r="G9" s="60" t="n">
        <v>2.7</v>
      </c>
      <c r="H9" s="60" t="n">
        <v>42.26</v>
      </c>
      <c r="I9" s="59" t="n">
        <v>2830</v>
      </c>
      <c r="J9" s="59">
        <f>C9/E9</f>
        <v/>
      </c>
      <c r="K9" s="61" t="inlineStr">
        <is>
          <t>Protein Hewani</t>
        </is>
      </c>
      <c r="L9" s="61" t="n"/>
    </row>
    <row r="10" ht="19.5" customHeight="1">
      <c r="A10" s="57" t="n">
        <v>7</v>
      </c>
      <c r="B10" s="58" t="inlineStr">
        <is>
          <t>Tepung ikan udang</t>
        </is>
      </c>
      <c r="C10" s="59" t="n">
        <v>7700</v>
      </c>
      <c r="D10" s="60" t="n">
        <v>88</v>
      </c>
      <c r="E10" s="60" t="n">
        <v>32</v>
      </c>
      <c r="F10" s="60" t="n">
        <v>6</v>
      </c>
      <c r="G10" s="60" t="n">
        <v>4</v>
      </c>
      <c r="H10" s="60" t="n">
        <v>12</v>
      </c>
      <c r="I10" s="59" t="n"/>
      <c r="J10" s="59">
        <f>C10/E10</f>
        <v/>
      </c>
      <c r="K10" s="61" t="inlineStr">
        <is>
          <t>Protein Hewani</t>
        </is>
      </c>
      <c r="L10" s="61" t="n"/>
    </row>
    <row r="11" ht="19.5" customHeight="1">
      <c r="A11" s="52" t="n">
        <v>8</v>
      </c>
      <c r="B11" s="53" t="inlineStr">
        <is>
          <t>Bungkil sawit</t>
        </is>
      </c>
      <c r="C11" s="54" t="n">
        <v>3000</v>
      </c>
      <c r="D11" s="55" t="n">
        <v>91.2</v>
      </c>
      <c r="E11" s="55" t="n">
        <v>16.7</v>
      </c>
      <c r="F11" s="55" t="n">
        <v>9.199999999999999</v>
      </c>
      <c r="G11" s="55" t="n">
        <v>19.8</v>
      </c>
      <c r="H11" s="55" t="n">
        <v>4.7</v>
      </c>
      <c r="I11" s="54" t="n">
        <v>2650</v>
      </c>
      <c r="J11" s="54">
        <f>C11/E11</f>
        <v/>
      </c>
      <c r="K11" s="56" t="inlineStr">
        <is>
          <t>Protein Nabati</t>
        </is>
      </c>
      <c r="L11" s="56" t="n"/>
    </row>
    <row r="12" ht="19.5" customHeight="1">
      <c r="A12" s="52" t="n">
        <v>9</v>
      </c>
      <c r="B12" s="53" t="inlineStr">
        <is>
          <t>Corn gluten meal (CGM)</t>
        </is>
      </c>
      <c r="C12" s="54" t="n">
        <v>10000</v>
      </c>
      <c r="D12" s="55" t="n">
        <v>90.01000000000001</v>
      </c>
      <c r="E12" s="55" t="n">
        <v>64</v>
      </c>
      <c r="F12" s="55" t="n">
        <v>2.91</v>
      </c>
      <c r="G12" s="55" t="n">
        <v>0.8</v>
      </c>
      <c r="H12" s="55" t="n">
        <v>2.68</v>
      </c>
      <c r="I12" s="54" t="n">
        <v>3720</v>
      </c>
      <c r="J12" s="54">
        <f>C12/E12</f>
        <v/>
      </c>
      <c r="K12" s="56" t="inlineStr">
        <is>
          <t>Protein Nabati</t>
        </is>
      </c>
      <c r="L12" s="56" t="n"/>
    </row>
    <row r="13" ht="19.5" customHeight="1">
      <c r="A13" s="52" t="n">
        <v>10</v>
      </c>
      <c r="B13" s="53" t="inlineStr">
        <is>
          <t>Bungkil kelapa</t>
        </is>
      </c>
      <c r="C13" s="54" t="n">
        <v>4500</v>
      </c>
      <c r="D13" s="55" t="n">
        <v>87</v>
      </c>
      <c r="E13" s="55" t="n">
        <v>18</v>
      </c>
      <c r="F13" s="55" t="n">
        <v>6</v>
      </c>
      <c r="G13" s="55" t="n">
        <v>17.33</v>
      </c>
      <c r="H13" s="55" t="n">
        <v>6.65</v>
      </c>
      <c r="I13" s="54" t="n">
        <v>2500</v>
      </c>
      <c r="J13" s="54">
        <f>C13/E13</f>
        <v/>
      </c>
      <c r="K13" s="56" t="inlineStr">
        <is>
          <t>Protein Nabati</t>
        </is>
      </c>
      <c r="L13" s="56" t="n"/>
    </row>
    <row r="14" ht="19.5" customHeight="1">
      <c r="A14" s="62" t="n">
        <v>11</v>
      </c>
      <c r="B14" s="63" t="inlineStr">
        <is>
          <t>Jagung</t>
        </is>
      </c>
      <c r="C14" s="64" t="n">
        <v>6000</v>
      </c>
      <c r="D14" s="65" t="n">
        <v>87</v>
      </c>
      <c r="E14" s="65" t="n">
        <v>8</v>
      </c>
      <c r="F14" s="65" t="n">
        <v>3.8</v>
      </c>
      <c r="G14" s="65" t="n">
        <v>2.2</v>
      </c>
      <c r="H14" s="65" t="n">
        <v>1.76</v>
      </c>
      <c r="I14" s="64" t="n">
        <v>3300</v>
      </c>
      <c r="J14" s="64">
        <f>C14/E14</f>
        <v/>
      </c>
      <c r="K14" s="66" t="inlineStr">
        <is>
          <t>Energi / Karbo</t>
        </is>
      </c>
      <c r="L14" s="66" t="n"/>
    </row>
    <row r="15" ht="19.5" customHeight="1">
      <c r="A15" s="67" t="n">
        <v>12</v>
      </c>
      <c r="B15" s="68" t="inlineStr">
        <is>
          <t>Indigofera</t>
        </is>
      </c>
      <c r="C15" s="69" t="n">
        <v>6000</v>
      </c>
      <c r="D15" s="70" t="n">
        <v>21.97</v>
      </c>
      <c r="E15" s="70" t="n">
        <v>24.17</v>
      </c>
      <c r="F15" s="70" t="n">
        <v>3.7</v>
      </c>
      <c r="G15" s="70" t="n">
        <v>13.9</v>
      </c>
      <c r="H15" s="70" t="n">
        <v>6.41</v>
      </c>
      <c r="I15" s="69" t="n">
        <v>3300</v>
      </c>
      <c r="J15" s="69">
        <f>C15/E15</f>
        <v/>
      </c>
      <c r="K15" s="71" t="inlineStr">
        <is>
          <t>Hijauan</t>
        </is>
      </c>
      <c r="L15" s="71" t="n"/>
    </row>
    <row r="16" ht="19.5" customHeight="1">
      <c r="A16" s="62" t="n">
        <v>13</v>
      </c>
      <c r="B16" s="63" t="inlineStr">
        <is>
          <t>Dedak halus</t>
        </is>
      </c>
      <c r="C16" s="64" t="n">
        <v>4500</v>
      </c>
      <c r="D16" s="65" t="n">
        <v>89.81</v>
      </c>
      <c r="E16" s="65" t="n">
        <v>9.880000000000001</v>
      </c>
      <c r="F16" s="65" t="n">
        <v>3.17</v>
      </c>
      <c r="G16" s="65" t="n">
        <v>8</v>
      </c>
      <c r="H16" s="65" t="n">
        <v>14.22</v>
      </c>
      <c r="I16" s="64" t="n">
        <v>3011</v>
      </c>
      <c r="J16" s="64">
        <f>C16/E16</f>
        <v/>
      </c>
      <c r="K16" s="66" t="inlineStr">
        <is>
          <t>Energi / Karbo</t>
        </is>
      </c>
      <c r="L16" s="66" t="n"/>
    </row>
    <row r="17" ht="19.5" customHeight="1">
      <c r="A17" s="62" t="n">
        <v>14</v>
      </c>
      <c r="B17" s="63" t="inlineStr">
        <is>
          <t>Pollard</t>
        </is>
      </c>
      <c r="C17" s="64" t="n">
        <v>4050</v>
      </c>
      <c r="D17" s="65" t="n">
        <v>87.40000000000001</v>
      </c>
      <c r="E17" s="65" t="n">
        <v>12.68</v>
      </c>
      <c r="F17" s="65" t="n">
        <v>4</v>
      </c>
      <c r="G17" s="65" t="n">
        <v>15</v>
      </c>
      <c r="H17" s="65" t="n">
        <v>4</v>
      </c>
      <c r="I17" s="64" t="n">
        <v>3000</v>
      </c>
      <c r="J17" s="64">
        <f>C17/E17</f>
        <v/>
      </c>
      <c r="K17" s="66" t="inlineStr">
        <is>
          <t>Energi / Karbo</t>
        </is>
      </c>
      <c r="L17" s="66" t="n"/>
    </row>
    <row r="18" ht="19.5" customHeight="1">
      <c r="A18" s="72" t="n">
        <v>15</v>
      </c>
      <c r="B18" s="73" t="inlineStr">
        <is>
          <t>Tapioka</t>
        </is>
      </c>
      <c r="C18" s="74" t="n">
        <v>11000</v>
      </c>
      <c r="D18" s="75" t="n">
        <v>87</v>
      </c>
      <c r="E18" s="75" t="n">
        <v>2.5</v>
      </c>
      <c r="F18" s="75" t="n">
        <v>0.7</v>
      </c>
      <c r="G18" s="75" t="n">
        <v>4.6</v>
      </c>
      <c r="H18" s="75" t="n">
        <v>2.5</v>
      </c>
      <c r="I18" s="74" t="n">
        <v>3100</v>
      </c>
      <c r="J18" s="74">
        <f>C18/E18</f>
        <v/>
      </c>
      <c r="K18" s="76" t="inlineStr">
        <is>
          <t>Binder</t>
        </is>
      </c>
      <c r="L18" s="76" t="n"/>
    </row>
    <row r="19" ht="19.5" customHeight="1">
      <c r="A19" s="77" t="n">
        <v>16</v>
      </c>
      <c r="B19" s="78" t="inlineStr">
        <is>
          <t>CPO</t>
        </is>
      </c>
      <c r="C19" s="79" t="n">
        <v>20000</v>
      </c>
      <c r="D19" s="80" t="n">
        <v>99</v>
      </c>
      <c r="E19" s="80" t="n">
        <v>0</v>
      </c>
      <c r="F19" s="80" t="n">
        <v>99</v>
      </c>
      <c r="G19" s="80" t="n">
        <v>0</v>
      </c>
      <c r="H19" s="80" t="n">
        <v>0.5</v>
      </c>
      <c r="I19" s="79" t="n">
        <v>7500</v>
      </c>
      <c r="J19" s="79" t="n"/>
      <c r="K19" s="81" t="inlineStr">
        <is>
          <t>Lemak / Minyak</t>
        </is>
      </c>
      <c r="L19" s="81" t="n"/>
    </row>
    <row r="20" ht="19.5" customHeight="1">
      <c r="A20" s="82" t="n">
        <v>17</v>
      </c>
      <c r="B20" s="83" t="inlineStr">
        <is>
          <t>Kapur</t>
        </is>
      </c>
      <c r="C20" s="84" t="n">
        <v>1200</v>
      </c>
      <c r="D20" s="85" t="n">
        <v>93</v>
      </c>
      <c r="E20" s="85" t="n">
        <v>0</v>
      </c>
      <c r="F20" s="85" t="n">
        <v>0</v>
      </c>
      <c r="G20" s="85" t="n">
        <v>0</v>
      </c>
      <c r="H20" s="85" t="n">
        <v>0</v>
      </c>
      <c r="I20" s="84" t="n"/>
      <c r="J20" s="84" t="n"/>
      <c r="K20" s="86" t="inlineStr">
        <is>
          <t>Mineral</t>
        </is>
      </c>
      <c r="L20" s="86" t="n"/>
    </row>
    <row r="21" ht="19.5" customHeight="1">
      <c r="A21" s="87" t="n">
        <v>18</v>
      </c>
      <c r="B21" s="88" t="inlineStr">
        <is>
          <t>Cc</t>
        </is>
      </c>
      <c r="C21" s="89" t="n">
        <v>50000</v>
      </c>
      <c r="D21" s="90" t="n">
        <v>98</v>
      </c>
      <c r="E21" s="90" t="n">
        <v>20</v>
      </c>
      <c r="F21" s="90" t="n">
        <v>0</v>
      </c>
      <c r="G21" s="90" t="n">
        <v>0</v>
      </c>
      <c r="H21" s="90" t="n">
        <v>5</v>
      </c>
      <c r="I21" s="89" t="n">
        <v>3990</v>
      </c>
      <c r="J21" s="89">
        <f>C21/E21</f>
        <v/>
      </c>
      <c r="K21" s="91" t="inlineStr">
        <is>
          <t>Asam Amino</t>
        </is>
      </c>
      <c r="L21" s="91" t="n"/>
    </row>
    <row r="22" ht="19.5" customHeight="1">
      <c r="A22" s="92" t="n">
        <v>19</v>
      </c>
      <c r="B22" s="93" t="inlineStr">
        <is>
          <t>Yeast</t>
        </is>
      </c>
      <c r="C22" s="94" t="n">
        <v>77000</v>
      </c>
      <c r="D22" s="95" t="n">
        <v>98</v>
      </c>
      <c r="E22" s="95" t="n">
        <v>58</v>
      </c>
      <c r="F22" s="95" t="n">
        <v>0</v>
      </c>
      <c r="G22" s="95" t="n">
        <v>0</v>
      </c>
      <c r="H22" s="95" t="n">
        <v>0</v>
      </c>
      <c r="I22" s="94" t="n">
        <v>5020</v>
      </c>
      <c r="J22" s="94">
        <f>C22/E22</f>
        <v/>
      </c>
      <c r="K22" s="96" t="inlineStr">
        <is>
          <t>Protein / Aditif</t>
        </is>
      </c>
      <c r="L22" s="96" t="n"/>
    </row>
    <row r="23" ht="19.5" customHeight="1">
      <c r="A23" s="97" t="n">
        <v>20</v>
      </c>
      <c r="B23" s="98" t="inlineStr">
        <is>
          <t>Premix</t>
        </is>
      </c>
      <c r="C23" s="99" t="n">
        <v>25000</v>
      </c>
      <c r="D23" s="100" t="n">
        <v>99</v>
      </c>
      <c r="E23" s="100" t="n">
        <v>0</v>
      </c>
      <c r="F23" s="100" t="n">
        <v>0</v>
      </c>
      <c r="G23" s="100" t="n">
        <v>0</v>
      </c>
      <c r="H23" s="100" t="n">
        <v>0</v>
      </c>
      <c r="I23" s="99" t="n"/>
      <c r="J23" s="99" t="n"/>
      <c r="K23" s="101" t="inlineStr">
        <is>
          <t>Vitamin-Mineral</t>
        </is>
      </c>
      <c r="L23" s="101" t="n"/>
    </row>
    <row r="24" ht="19.5" customHeight="1">
      <c r="A24" s="52" t="n">
        <v>21</v>
      </c>
      <c r="B24" s="53" t="inlineStr">
        <is>
          <t>Konsentrat</t>
        </is>
      </c>
      <c r="C24" s="54" t="n">
        <v>2600</v>
      </c>
      <c r="D24" s="55" t="n">
        <v>91.2</v>
      </c>
      <c r="E24" s="55" t="n">
        <v>16.7</v>
      </c>
      <c r="F24" s="55" t="n">
        <v>9.199999999999999</v>
      </c>
      <c r="G24" s="55" t="n">
        <v>19.8</v>
      </c>
      <c r="H24" s="55" t="n">
        <v>4.7</v>
      </c>
      <c r="I24" s="54" t="n">
        <v>2650</v>
      </c>
      <c r="J24" s="54">
        <f>C24/E24</f>
        <v/>
      </c>
      <c r="K24" s="56" t="inlineStr">
        <is>
          <t>Protein Nabati</t>
        </is>
      </c>
      <c r="L24" s="56" t="n"/>
    </row>
    <row r="25" ht="19.5" customHeight="1">
      <c r="A25" s="87" t="n">
        <v>22</v>
      </c>
      <c r="B25" s="88" t="inlineStr">
        <is>
          <t>L-Lysin</t>
        </is>
      </c>
      <c r="C25" s="89" t="n">
        <v>50000</v>
      </c>
      <c r="D25" s="90" t="n">
        <v>98</v>
      </c>
      <c r="E25" s="90" t="n">
        <v>95.8</v>
      </c>
      <c r="F25" s="90" t="n">
        <v>0</v>
      </c>
      <c r="G25" s="90" t="n">
        <v>0</v>
      </c>
      <c r="H25" s="90" t="n">
        <v>0</v>
      </c>
      <c r="I25" s="89" t="n">
        <v>3990</v>
      </c>
      <c r="J25" s="89">
        <f>C25/E25</f>
        <v/>
      </c>
      <c r="K25" s="91" t="inlineStr">
        <is>
          <t>Asam Amino</t>
        </is>
      </c>
      <c r="L25" s="91" t="n"/>
    </row>
    <row r="26" ht="19.5" customHeight="1">
      <c r="A26" s="87" t="n">
        <v>23</v>
      </c>
      <c r="B26" s="88" t="inlineStr">
        <is>
          <t>DL-Methionine</t>
        </is>
      </c>
      <c r="C26" s="89" t="n">
        <v>90000</v>
      </c>
      <c r="D26" s="90" t="n">
        <v>98</v>
      </c>
      <c r="E26" s="90" t="n">
        <v>58</v>
      </c>
      <c r="F26" s="90" t="n">
        <v>0</v>
      </c>
      <c r="G26" s="90" t="n">
        <v>0</v>
      </c>
      <c r="H26" s="90" t="n">
        <v>0</v>
      </c>
      <c r="I26" s="89" t="n">
        <v>5020</v>
      </c>
      <c r="J26" s="89">
        <f>C26/E26</f>
        <v/>
      </c>
      <c r="K26" s="91" t="inlineStr">
        <is>
          <t>Asam Amino</t>
        </is>
      </c>
      <c r="L26" s="91" t="n"/>
    </row>
    <row r="27" ht="19.5" customHeight="1">
      <c r="A27" s="87" t="n">
        <v>24</v>
      </c>
      <c r="B27" s="88" t="inlineStr">
        <is>
          <t>Threonine</t>
        </is>
      </c>
      <c r="C27" s="89" t="n">
        <v>90000</v>
      </c>
      <c r="D27" s="90" t="n">
        <v>98</v>
      </c>
      <c r="E27" s="90" t="n">
        <v>72.59999999999999</v>
      </c>
      <c r="F27" s="90" t="n">
        <v>0</v>
      </c>
      <c r="G27" s="90" t="n">
        <v>0</v>
      </c>
      <c r="H27" s="90" t="n">
        <v>0</v>
      </c>
      <c r="I27" s="89" t="n">
        <v>3764</v>
      </c>
      <c r="J27" s="89">
        <f>C27/E27</f>
        <v/>
      </c>
      <c r="K27" s="91" t="inlineStr">
        <is>
          <t>Asam Amino</t>
        </is>
      </c>
      <c r="L27" s="91" t="n"/>
    </row>
    <row r="28" ht="19.5" customHeight="1">
      <c r="A28" s="102" t="n">
        <v>25</v>
      </c>
      <c r="B28" s="103" t="inlineStr">
        <is>
          <t>Toxin binder</t>
        </is>
      </c>
      <c r="C28" s="104" t="n">
        <v>12000</v>
      </c>
      <c r="D28" s="105" t="n">
        <v>90</v>
      </c>
      <c r="E28" s="105" t="n">
        <v>0</v>
      </c>
      <c r="F28" s="105" t="n">
        <v>2</v>
      </c>
      <c r="G28" s="105" t="n">
        <v>0</v>
      </c>
      <c r="H28" s="105" t="n">
        <v>70</v>
      </c>
      <c r="I28" s="104" t="n"/>
      <c r="J28" s="104" t="n"/>
      <c r="K28" s="106" t="inlineStr">
        <is>
          <t>Aditif</t>
        </is>
      </c>
      <c r="L28" s="106" t="n"/>
    </row>
    <row r="29" ht="19.5" customHeight="1">
      <c r="A29" s="72" t="n">
        <v>26</v>
      </c>
      <c r="B29" s="73" t="inlineStr">
        <is>
          <t>Lignin sulfonate</t>
        </is>
      </c>
      <c r="C29" s="74" t="n">
        <v>50000</v>
      </c>
      <c r="D29" s="75" t="n">
        <v>99</v>
      </c>
      <c r="E29" s="75" t="n">
        <v>0</v>
      </c>
      <c r="F29" s="75" t="n">
        <v>0</v>
      </c>
      <c r="G29" s="75" t="n">
        <v>10</v>
      </c>
      <c r="H29" s="75" t="n">
        <v>35</v>
      </c>
      <c r="I29" s="74" t="n"/>
      <c r="J29" s="74" t="n"/>
      <c r="K29" s="76" t="inlineStr">
        <is>
          <t>Binder / Aditif</t>
        </is>
      </c>
      <c r="L29" s="76" t="n"/>
    </row>
    <row r="30" ht="19.5" customHeight="1">
      <c r="A30" s="102" t="n">
        <v>27</v>
      </c>
      <c r="B30" s="103" t="inlineStr">
        <is>
          <t>Enzim</t>
        </is>
      </c>
      <c r="C30" s="104" t="n">
        <v>85000</v>
      </c>
      <c r="D30" s="105" t="n">
        <v>99</v>
      </c>
      <c r="E30" s="105" t="n">
        <v>7</v>
      </c>
      <c r="F30" s="105" t="n">
        <v>0</v>
      </c>
      <c r="G30" s="105" t="n">
        <v>1</v>
      </c>
      <c r="H30" s="105" t="n">
        <v>5</v>
      </c>
      <c r="I30" s="104" t="n"/>
      <c r="J30" s="104">
        <f>C30/E30</f>
        <v/>
      </c>
      <c r="K30" s="106" t="inlineStr">
        <is>
          <t>Aditif</t>
        </is>
      </c>
      <c r="L30" s="106" t="n"/>
    </row>
    <row r="33">
      <c r="A33" s="12" t="inlineStr">
        <is>
          <t>LEGENDA KATEGORI BAHAN</t>
        </is>
      </c>
    </row>
    <row r="34">
      <c r="A34" s="7" t="inlineStr">
        <is>
          <t>Protein Hewani</t>
        </is>
      </c>
      <c r="B34" s="135" t="n"/>
      <c r="C34" s="135" t="n"/>
      <c r="D34" s="6" t="inlineStr">
        <is>
          <t>Protein Nabati</t>
        </is>
      </c>
      <c r="E34" s="135" t="n"/>
      <c r="F34" s="135" t="n"/>
      <c r="G34" s="5" t="inlineStr">
        <is>
          <t>Energi / Karbo</t>
        </is>
      </c>
      <c r="H34" s="135" t="n"/>
      <c r="I34" s="135" t="n"/>
      <c r="J34" s="4" t="inlineStr">
        <is>
          <t>Binder</t>
        </is>
      </c>
      <c r="K34" s="135" t="n"/>
      <c r="L34" s="135" t="n"/>
    </row>
    <row r="35">
      <c r="A35" s="4" t="inlineStr">
        <is>
          <t>Binder / Aditif</t>
        </is>
      </c>
      <c r="B35" s="135" t="n"/>
      <c r="C35" s="135" t="n"/>
      <c r="D35" s="3" t="inlineStr">
        <is>
          <t>Lemak / Minyak</t>
        </is>
      </c>
      <c r="E35" s="135" t="n"/>
      <c r="F35" s="135" t="n"/>
      <c r="G35" s="2" t="inlineStr">
        <is>
          <t>Mineral</t>
        </is>
      </c>
      <c r="H35" s="135" t="n"/>
      <c r="I35" s="135" t="n"/>
      <c r="J35" s="1" t="inlineStr">
        <is>
          <t>Asam Amino</t>
        </is>
      </c>
      <c r="K35" s="135" t="n"/>
      <c r="L35" s="135" t="n"/>
    </row>
    <row r="36">
      <c r="A36" s="114" t="inlineStr">
        <is>
          <t>Vitamin-Mineral</t>
        </is>
      </c>
      <c r="B36" s="135" t="n"/>
      <c r="C36" s="135" t="n"/>
      <c r="D36" s="115" t="inlineStr">
        <is>
          <t>Hijauan</t>
        </is>
      </c>
      <c r="E36" s="135" t="n"/>
      <c r="F36" s="135" t="n"/>
      <c r="G36" s="116" t="inlineStr">
        <is>
          <t>Aditif</t>
        </is>
      </c>
      <c r="H36" s="135" t="n"/>
      <c r="I36" s="135" t="n"/>
      <c r="J36" s="117" t="inlineStr">
        <is>
          <t>Protein / Aditif</t>
        </is>
      </c>
      <c r="K36" s="135" t="n"/>
      <c r="L36" s="135" t="n"/>
    </row>
  </sheetData>
  <mergeCells count="15">
    <mergeCell ref="A2:L2"/>
    <mergeCell ref="A36:C36"/>
    <mergeCell ref="G36:I36"/>
    <mergeCell ref="A33:L33"/>
    <mergeCell ref="J36:L36"/>
    <mergeCell ref="A1:L1"/>
    <mergeCell ref="D35:F35"/>
    <mergeCell ref="D36:F36"/>
    <mergeCell ref="G35:I35"/>
    <mergeCell ref="J35:L35"/>
    <mergeCell ref="G34:I34"/>
    <mergeCell ref="A34:C34"/>
    <mergeCell ref="J34:L34"/>
    <mergeCell ref="A35:C35"/>
    <mergeCell ref="D34:F34"/>
  </mergeCells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0"/>
  <sheetViews>
    <sheetView showGridLines="0" tabSelected="1" zoomScaleNormal="100" workbookViewId="0">
      <pane xSplit="4" ySplit="2" topLeftCell="E3" activePane="bottomRight" state="frozen"/>
      <selection pane="bottomLeft" activeCell="A3" sqref="A3"/>
      <selection pane="topRight" activeCell="E1" sqref="E1"/>
      <selection pane="bottomRight" activeCell="A1" sqref="A1"/>
    </sheetView>
  </sheetViews>
  <sheetFormatPr baseColWidth="8" defaultColWidth="8.7421875" defaultRowHeight="15"/>
  <cols>
    <col width="4.03515625" customWidth="1" min="1" max="1"/>
    <col width="22.05859375" customWidth="1" min="2" max="2"/>
    <col width="13.046875" customWidth="1" min="3" max="3"/>
    <col width="13.98828125" customWidth="1" min="4" max="5"/>
    <col width="16.0078125" customWidth="1" min="6" max="6"/>
    <col width="13.98828125" customWidth="1" min="7" max="7"/>
    <col width="16.0078125" customWidth="1" min="8" max="8"/>
    <col width="13.98828125" customWidth="1" min="9" max="9"/>
  </cols>
  <sheetData>
    <row r="1" ht="27.75" customHeight="1">
      <c r="A1" s="9" t="inlineStr">
        <is>
          <t>LEMBAR PERBANDINGAN FORMULA — PPBIB</t>
        </is>
      </c>
    </row>
    <row r="2" ht="36" customHeight="1">
      <c r="A2" s="15" t="inlineStr">
        <is>
          <t>No</t>
        </is>
      </c>
      <c r="B2" s="15" t="inlineStr">
        <is>
          <t>Nama Bahan</t>
        </is>
      </c>
      <c r="C2" s="15" t="inlineStr">
        <is>
          <t>Harga/kg (Rp)</t>
        </is>
      </c>
      <c r="D2" s="15" t="inlineStr">
        <is>
          <t>Kadar Protein (%)</t>
        </is>
      </c>
      <c r="E2" s="17" t="inlineStr">
        <is>
          <t>Formula A
Proporsi (%)</t>
        </is>
      </c>
      <c r="F2" s="17" t="inlineStr">
        <is>
          <t>Formula A
Kontribusi Protein</t>
        </is>
      </c>
      <c r="G2" s="16" t="inlineStr">
        <is>
          <t>Formula B
Proporsi (%)</t>
        </is>
      </c>
      <c r="H2" s="16" t="inlineStr">
        <is>
          <t>Formula B
Kontribusi Protein</t>
        </is>
      </c>
      <c r="I2" s="107" t="inlineStr">
        <is>
          <t>Selisih Proporsi</t>
        </is>
      </c>
    </row>
    <row r="3" ht="18" customHeight="1">
      <c r="A3" s="19" t="n">
        <v>1</v>
      </c>
      <c r="B3" s="20" t="inlineStr">
        <is>
          <t>Bungkil kedelai</t>
        </is>
      </c>
      <c r="C3" s="25" t="n">
        <v>8500</v>
      </c>
      <c r="D3" s="22" t="n">
        <v>45.53</v>
      </c>
      <c r="E3" s="108" t="n"/>
      <c r="F3" s="24">
        <f>E3*D3/100</f>
        <v/>
      </c>
      <c r="G3" s="108" t="n"/>
      <c r="H3" s="24">
        <f>G3*D3/100</f>
        <v/>
      </c>
      <c r="I3" s="109">
        <f>G3-E3</f>
        <v/>
      </c>
    </row>
    <row r="4" ht="18" customHeight="1">
      <c r="A4" s="28" t="n">
        <v>2</v>
      </c>
      <c r="B4" s="29" t="inlineStr">
        <is>
          <t>Meat bone meal (MBM)</t>
        </is>
      </c>
      <c r="C4" s="31" t="n">
        <v>10000</v>
      </c>
      <c r="D4" s="30" t="n">
        <v>52.57</v>
      </c>
      <c r="E4" s="110" t="n"/>
      <c r="F4" s="24">
        <f>E4*D4/100</f>
        <v/>
      </c>
      <c r="G4" s="110" t="n"/>
      <c r="H4" s="24">
        <f>G4*D4/100</f>
        <v/>
      </c>
      <c r="I4" s="109">
        <f>G4-E4</f>
        <v/>
      </c>
    </row>
    <row r="5" ht="18" customHeight="1">
      <c r="A5" s="19" t="n">
        <v>3</v>
      </c>
      <c r="B5" s="20" t="inlineStr">
        <is>
          <t>Corn gluten feed</t>
        </is>
      </c>
      <c r="C5" s="25" t="n">
        <v>5000</v>
      </c>
      <c r="D5" s="22" t="n">
        <v>24.39</v>
      </c>
      <c r="E5" s="108" t="n"/>
      <c r="F5" s="24">
        <f>E5*D5/100</f>
        <v/>
      </c>
      <c r="G5" s="108" t="n"/>
      <c r="H5" s="24">
        <f>G5*D5/100</f>
        <v/>
      </c>
      <c r="I5" s="109">
        <f>G5-E5</f>
        <v/>
      </c>
    </row>
    <row r="6" ht="18" customHeight="1">
      <c r="A6" s="28" t="n">
        <v>4</v>
      </c>
      <c r="B6" s="29" t="inlineStr">
        <is>
          <t>DDGS</t>
        </is>
      </c>
      <c r="C6" s="31" t="n">
        <v>7900</v>
      </c>
      <c r="D6" s="30" t="n">
        <v>30.23</v>
      </c>
      <c r="E6" s="110" t="n"/>
      <c r="F6" s="24">
        <f>E6*D6/100</f>
        <v/>
      </c>
      <c r="G6" s="110" t="n"/>
      <c r="H6" s="24">
        <f>G6*D6/100</f>
        <v/>
      </c>
      <c r="I6" s="109">
        <f>G6-E6</f>
        <v/>
      </c>
    </row>
    <row r="7" ht="18" customHeight="1">
      <c r="A7" s="19" t="n">
        <v>5</v>
      </c>
      <c r="B7" s="20" t="inlineStr">
        <is>
          <t>Tepung ikan impor</t>
        </is>
      </c>
      <c r="C7" s="25" t="n">
        <v>15000</v>
      </c>
      <c r="D7" s="22" t="n">
        <v>55</v>
      </c>
      <c r="E7" s="108" t="n"/>
      <c r="F7" s="24">
        <f>E7*D7/100</f>
        <v/>
      </c>
      <c r="G7" s="108" t="n"/>
      <c r="H7" s="24">
        <f>G7*D7/100</f>
        <v/>
      </c>
      <c r="I7" s="109">
        <f>G7-E7</f>
        <v/>
      </c>
    </row>
    <row r="8" ht="18" customHeight="1">
      <c r="A8" s="28" t="n">
        <v>6</v>
      </c>
      <c r="B8" s="29" t="inlineStr">
        <is>
          <t>Tepung ikan lokal</t>
        </is>
      </c>
      <c r="C8" s="31" t="n">
        <v>9000</v>
      </c>
      <c r="D8" s="30" t="n">
        <v>44.2</v>
      </c>
      <c r="E8" s="110" t="n"/>
      <c r="F8" s="24">
        <f>E8*D8/100</f>
        <v/>
      </c>
      <c r="G8" s="110" t="n"/>
      <c r="H8" s="24">
        <f>G8*D8/100</f>
        <v/>
      </c>
      <c r="I8" s="109">
        <f>G8-E8</f>
        <v/>
      </c>
    </row>
    <row r="9" ht="18" customHeight="1">
      <c r="A9" s="19" t="n">
        <v>7</v>
      </c>
      <c r="B9" s="20" t="inlineStr">
        <is>
          <t>Tepung ikan udang</t>
        </is>
      </c>
      <c r="C9" s="25" t="n">
        <v>7700</v>
      </c>
      <c r="D9" s="22" t="n">
        <v>32</v>
      </c>
      <c r="E9" s="108" t="n"/>
      <c r="F9" s="24">
        <f>E9*D9/100</f>
        <v/>
      </c>
      <c r="G9" s="108" t="n"/>
      <c r="H9" s="24">
        <f>G9*D9/100</f>
        <v/>
      </c>
      <c r="I9" s="109">
        <f>G9-E9</f>
        <v/>
      </c>
    </row>
    <row r="10" ht="18" customHeight="1">
      <c r="A10" s="28" t="n">
        <v>8</v>
      </c>
      <c r="B10" s="29" t="inlineStr">
        <is>
          <t>Bungkil sawit</t>
        </is>
      </c>
      <c r="C10" s="31" t="n">
        <v>3000</v>
      </c>
      <c r="D10" s="30" t="n">
        <v>16.7</v>
      </c>
      <c r="E10" s="110" t="n"/>
      <c r="F10" s="24">
        <f>E10*D10/100</f>
        <v/>
      </c>
      <c r="G10" s="110" t="n"/>
      <c r="H10" s="24">
        <f>G10*D10/100</f>
        <v/>
      </c>
      <c r="I10" s="109">
        <f>G10-E10</f>
        <v/>
      </c>
    </row>
    <row r="11" ht="18" customHeight="1">
      <c r="A11" s="19" t="n">
        <v>9</v>
      </c>
      <c r="B11" s="20" t="inlineStr">
        <is>
          <t>Corn gluten meal (CGM)</t>
        </is>
      </c>
      <c r="C11" s="25" t="n">
        <v>10000</v>
      </c>
      <c r="D11" s="22" t="n">
        <v>64</v>
      </c>
      <c r="E11" s="108" t="n"/>
      <c r="F11" s="24">
        <f>E11*D11/100</f>
        <v/>
      </c>
      <c r="G11" s="108" t="n"/>
      <c r="H11" s="24">
        <f>G11*D11/100</f>
        <v/>
      </c>
      <c r="I11" s="109">
        <f>G11-E11</f>
        <v/>
      </c>
    </row>
    <row r="12" ht="18" customHeight="1">
      <c r="A12" s="28" t="n">
        <v>10</v>
      </c>
      <c r="B12" s="29" t="inlineStr">
        <is>
          <t>Bungkil kelapa</t>
        </is>
      </c>
      <c r="C12" s="31" t="n">
        <v>4500</v>
      </c>
      <c r="D12" s="30" t="n">
        <v>18</v>
      </c>
      <c r="E12" s="110" t="n"/>
      <c r="F12" s="24">
        <f>E12*D12/100</f>
        <v/>
      </c>
      <c r="G12" s="110" t="n"/>
      <c r="H12" s="24">
        <f>G12*D12/100</f>
        <v/>
      </c>
      <c r="I12" s="109">
        <f>G12-E12</f>
        <v/>
      </c>
    </row>
    <row r="13" ht="18" customHeight="1">
      <c r="A13" s="19" t="n">
        <v>11</v>
      </c>
      <c r="B13" s="20" t="inlineStr">
        <is>
          <t>Jagung</t>
        </is>
      </c>
      <c r="C13" s="25" t="n">
        <v>6000</v>
      </c>
      <c r="D13" s="22" t="n">
        <v>8</v>
      </c>
      <c r="E13" s="108" t="n"/>
      <c r="F13" s="24">
        <f>E13*D13/100</f>
        <v/>
      </c>
      <c r="G13" s="108" t="n"/>
      <c r="H13" s="24">
        <f>G13*D13/100</f>
        <v/>
      </c>
      <c r="I13" s="109">
        <f>G13-E13</f>
        <v/>
      </c>
    </row>
    <row r="14" ht="18" customHeight="1">
      <c r="A14" s="28" t="n">
        <v>12</v>
      </c>
      <c r="B14" s="29" t="inlineStr">
        <is>
          <t>Indigofera</t>
        </is>
      </c>
      <c r="C14" s="31" t="n">
        <v>6000</v>
      </c>
      <c r="D14" s="30" t="n">
        <v>24.17</v>
      </c>
      <c r="E14" s="110" t="n"/>
      <c r="F14" s="24">
        <f>E14*D14/100</f>
        <v/>
      </c>
      <c r="G14" s="110" t="n"/>
      <c r="H14" s="24">
        <f>G14*D14/100</f>
        <v/>
      </c>
      <c r="I14" s="109">
        <f>G14-E14</f>
        <v/>
      </c>
    </row>
    <row r="15" ht="18" customHeight="1">
      <c r="A15" s="19" t="n">
        <v>13</v>
      </c>
      <c r="B15" s="20" t="inlineStr">
        <is>
          <t>Dedak halus</t>
        </is>
      </c>
      <c r="C15" s="25" t="n">
        <v>4500</v>
      </c>
      <c r="D15" s="22" t="n">
        <v>9.880000000000001</v>
      </c>
      <c r="E15" s="108" t="n"/>
      <c r="F15" s="24">
        <f>E15*D15/100</f>
        <v/>
      </c>
      <c r="G15" s="108" t="n"/>
      <c r="H15" s="24">
        <f>G15*D15/100</f>
        <v/>
      </c>
      <c r="I15" s="109">
        <f>G15-E15</f>
        <v/>
      </c>
    </row>
    <row r="16" ht="18" customHeight="1">
      <c r="A16" s="28" t="n">
        <v>14</v>
      </c>
      <c r="B16" s="29" t="inlineStr">
        <is>
          <t>Pollard</t>
        </is>
      </c>
      <c r="C16" s="31" t="n">
        <v>4050</v>
      </c>
      <c r="D16" s="30" t="n">
        <v>12.68</v>
      </c>
      <c r="E16" s="110" t="n"/>
      <c r="F16" s="24">
        <f>E16*D16/100</f>
        <v/>
      </c>
      <c r="G16" s="110" t="n"/>
      <c r="H16" s="24">
        <f>G16*D16/100</f>
        <v/>
      </c>
      <c r="I16" s="109">
        <f>G16-E16</f>
        <v/>
      </c>
    </row>
    <row r="17" ht="18" customHeight="1">
      <c r="A17" s="19" t="n">
        <v>15</v>
      </c>
      <c r="B17" s="20" t="inlineStr">
        <is>
          <t>Tapioka</t>
        </is>
      </c>
      <c r="C17" s="25" t="n">
        <v>11000</v>
      </c>
      <c r="D17" s="22" t="n">
        <v>2.5</v>
      </c>
      <c r="E17" s="108" t="n"/>
      <c r="F17" s="24">
        <f>E17*D17/100</f>
        <v/>
      </c>
      <c r="G17" s="108" t="n"/>
      <c r="H17" s="24">
        <f>G17*D17/100</f>
        <v/>
      </c>
      <c r="I17" s="109">
        <f>G17-E17</f>
        <v/>
      </c>
    </row>
    <row r="18" ht="18" customHeight="1">
      <c r="A18" s="28" t="n">
        <v>16</v>
      </c>
      <c r="B18" s="29" t="inlineStr">
        <is>
          <t>CPO</t>
        </is>
      </c>
      <c r="C18" s="31" t="n">
        <v>20000</v>
      </c>
      <c r="D18" s="30" t="n">
        <v>0</v>
      </c>
      <c r="E18" s="110" t="n"/>
      <c r="F18" s="24">
        <f>E18*D18/100</f>
        <v/>
      </c>
      <c r="G18" s="110" t="n"/>
      <c r="H18" s="24">
        <f>G18*D18/100</f>
        <v/>
      </c>
      <c r="I18" s="109">
        <f>G18-E18</f>
        <v/>
      </c>
    </row>
    <row r="19" ht="18" customHeight="1">
      <c r="A19" s="19" t="n">
        <v>17</v>
      </c>
      <c r="B19" s="20" t="inlineStr">
        <is>
          <t>Kapur</t>
        </is>
      </c>
      <c r="C19" s="25" t="n">
        <v>1200</v>
      </c>
      <c r="D19" s="22" t="n">
        <v>0</v>
      </c>
      <c r="E19" s="108" t="n"/>
      <c r="F19" s="24">
        <f>E19*D19/100</f>
        <v/>
      </c>
      <c r="G19" s="108" t="n"/>
      <c r="H19" s="24">
        <f>G19*D19/100</f>
        <v/>
      </c>
      <c r="I19" s="109">
        <f>G19-E19</f>
        <v/>
      </c>
    </row>
    <row r="20" ht="18" customHeight="1">
      <c r="A20" s="28" t="n">
        <v>18</v>
      </c>
      <c r="B20" s="29" t="inlineStr">
        <is>
          <t>Cc</t>
        </is>
      </c>
      <c r="C20" s="31" t="n">
        <v>50000</v>
      </c>
      <c r="D20" s="30" t="n">
        <v>20</v>
      </c>
      <c r="E20" s="110" t="n"/>
      <c r="F20" s="24">
        <f>E20*D20/100</f>
        <v/>
      </c>
      <c r="G20" s="110" t="n"/>
      <c r="H20" s="24">
        <f>G20*D20/100</f>
        <v/>
      </c>
      <c r="I20" s="109">
        <f>G20-E20</f>
        <v/>
      </c>
    </row>
    <row r="21" ht="18" customHeight="1">
      <c r="A21" s="19" t="n">
        <v>19</v>
      </c>
      <c r="B21" s="20" t="inlineStr">
        <is>
          <t>Yeast</t>
        </is>
      </c>
      <c r="C21" s="25" t="n">
        <v>77000</v>
      </c>
      <c r="D21" s="22" t="n">
        <v>58</v>
      </c>
      <c r="E21" s="108" t="n"/>
      <c r="F21" s="24">
        <f>E21*D21/100</f>
        <v/>
      </c>
      <c r="G21" s="108" t="n"/>
      <c r="H21" s="24">
        <f>G21*D21/100</f>
        <v/>
      </c>
      <c r="I21" s="109">
        <f>G21-E21</f>
        <v/>
      </c>
    </row>
    <row r="22" ht="18" customHeight="1">
      <c r="A22" s="28" t="n">
        <v>20</v>
      </c>
      <c r="B22" s="29" t="inlineStr">
        <is>
          <t>Premix</t>
        </is>
      </c>
      <c r="C22" s="31" t="n">
        <v>25000</v>
      </c>
      <c r="D22" s="30" t="n">
        <v>0</v>
      </c>
      <c r="E22" s="110" t="n"/>
      <c r="F22" s="24">
        <f>E22*D22/100</f>
        <v/>
      </c>
      <c r="G22" s="110" t="n"/>
      <c r="H22" s="24">
        <f>G22*D22/100</f>
        <v/>
      </c>
      <c r="I22" s="109">
        <f>G22-E22</f>
        <v/>
      </c>
    </row>
    <row r="23" ht="18" customHeight="1">
      <c r="A23" s="19" t="n">
        <v>21</v>
      </c>
      <c r="B23" s="20" t="inlineStr">
        <is>
          <t>Konsentrat</t>
        </is>
      </c>
      <c r="C23" s="25" t="n">
        <v>2600</v>
      </c>
      <c r="D23" s="22" t="n">
        <v>16.7</v>
      </c>
      <c r="E23" s="108" t="n"/>
      <c r="F23" s="24">
        <f>E23*D23/100</f>
        <v/>
      </c>
      <c r="G23" s="108" t="n"/>
      <c r="H23" s="24">
        <f>G23*D23/100</f>
        <v/>
      </c>
      <c r="I23" s="109">
        <f>G23-E23</f>
        <v/>
      </c>
    </row>
    <row r="24" ht="18" customHeight="1">
      <c r="A24" s="28" t="n">
        <v>22</v>
      </c>
      <c r="B24" s="29" t="inlineStr">
        <is>
          <t>L-Lysin</t>
        </is>
      </c>
      <c r="C24" s="31" t="n">
        <v>50000</v>
      </c>
      <c r="D24" s="30" t="n">
        <v>95.8</v>
      </c>
      <c r="E24" s="110" t="n"/>
      <c r="F24" s="24">
        <f>E24*D24/100</f>
        <v/>
      </c>
      <c r="G24" s="110" t="n"/>
      <c r="H24" s="24">
        <f>G24*D24/100</f>
        <v/>
      </c>
      <c r="I24" s="109">
        <f>G24-E24</f>
        <v/>
      </c>
    </row>
    <row r="25" ht="18" customHeight="1">
      <c r="A25" s="19" t="n">
        <v>23</v>
      </c>
      <c r="B25" s="20" t="inlineStr">
        <is>
          <t>DL-Methionine</t>
        </is>
      </c>
      <c r="C25" s="25" t="n">
        <v>90000</v>
      </c>
      <c r="D25" s="22" t="n">
        <v>58</v>
      </c>
      <c r="E25" s="108" t="n"/>
      <c r="F25" s="24">
        <f>E25*D25/100</f>
        <v/>
      </c>
      <c r="G25" s="108" t="n"/>
      <c r="H25" s="24">
        <f>G25*D25/100</f>
        <v/>
      </c>
      <c r="I25" s="109">
        <f>G25-E25</f>
        <v/>
      </c>
    </row>
    <row r="26" ht="18" customHeight="1">
      <c r="A26" s="28" t="n">
        <v>24</v>
      </c>
      <c r="B26" s="29" t="inlineStr">
        <is>
          <t>Threonine</t>
        </is>
      </c>
      <c r="C26" s="31" t="n">
        <v>90000</v>
      </c>
      <c r="D26" s="30" t="n">
        <v>72.59999999999999</v>
      </c>
      <c r="E26" s="110" t="n"/>
      <c r="F26" s="24">
        <f>E26*D26/100</f>
        <v/>
      </c>
      <c r="G26" s="110" t="n"/>
      <c r="H26" s="24">
        <f>G26*D26/100</f>
        <v/>
      </c>
      <c r="I26" s="109">
        <f>G26-E26</f>
        <v/>
      </c>
    </row>
    <row r="27" ht="18" customHeight="1">
      <c r="A27" s="19" t="n">
        <v>25</v>
      </c>
      <c r="B27" s="20" t="inlineStr">
        <is>
          <t>Toxin binder</t>
        </is>
      </c>
      <c r="C27" s="25" t="n">
        <v>12000</v>
      </c>
      <c r="D27" s="22" t="n">
        <v>0</v>
      </c>
      <c r="E27" s="108" t="n"/>
      <c r="F27" s="24">
        <f>E27*D27/100</f>
        <v/>
      </c>
      <c r="G27" s="108" t="n"/>
      <c r="H27" s="24">
        <f>G27*D27/100</f>
        <v/>
      </c>
      <c r="I27" s="109">
        <f>G27-E27</f>
        <v/>
      </c>
    </row>
    <row r="28" ht="18" customHeight="1">
      <c r="A28" s="28" t="n">
        <v>26</v>
      </c>
      <c r="B28" s="29" t="inlineStr">
        <is>
          <t>Lignin sulfonate</t>
        </is>
      </c>
      <c r="C28" s="31" t="n">
        <v>50000</v>
      </c>
      <c r="D28" s="30" t="n">
        <v>0</v>
      </c>
      <c r="E28" s="110" t="n"/>
      <c r="F28" s="24">
        <f>E28*D28/100</f>
        <v/>
      </c>
      <c r="G28" s="110" t="n"/>
      <c r="H28" s="24">
        <f>G28*D28/100</f>
        <v/>
      </c>
      <c r="I28" s="109">
        <f>G28-E28</f>
        <v/>
      </c>
    </row>
    <row r="29" ht="18" customHeight="1">
      <c r="A29" s="19" t="n">
        <v>27</v>
      </c>
      <c r="B29" s="20" t="inlineStr">
        <is>
          <t>Enzim</t>
        </is>
      </c>
      <c r="C29" s="25" t="n">
        <v>85000</v>
      </c>
      <c r="D29" s="22" t="n">
        <v>7</v>
      </c>
      <c r="E29" s="108" t="n"/>
      <c r="F29" s="24">
        <f>E29*D29/100</f>
        <v/>
      </c>
      <c r="G29" s="108" t="n"/>
      <c r="H29" s="24">
        <f>G29*D29/100</f>
        <v/>
      </c>
      <c r="I29" s="109">
        <f>G29-E29</f>
        <v/>
      </c>
    </row>
    <row r="30" ht="21.75" customHeight="1">
      <c r="A30" s="35" t="inlineStr">
        <is>
          <t>TOTAL</t>
        </is>
      </c>
      <c r="B30" s="35" t="n"/>
      <c r="C30" s="111" t="inlineStr">
        <is>
          <t>Harga Pokok →</t>
        </is>
      </c>
      <c r="D30" s="111" t="n"/>
      <c r="E30" s="112">
        <f>SUM(E3:E29)</f>
        <v/>
      </c>
      <c r="F30" s="113">
        <f>SUM(F3:F29)</f>
        <v/>
      </c>
      <c r="G30" s="112">
        <f>SUM(G3:G29)</f>
        <v/>
      </c>
      <c r="H30" s="113">
        <f>SUM(H3:H29)</f>
        <v/>
      </c>
      <c r="I30" s="35" t="n"/>
    </row>
  </sheetData>
  <mergeCells count="1">
    <mergeCell ref="A1:I1"/>
  </mergeCells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2026-05-16T23:46:15Z</dcterms:created>
  <dcterms:modified xsi:type="dcterms:W3CDTF">2026-05-31T09:49:45Z</dcterms:modified>
  <cp:revision>0</cp:revision>
</cp:coreProperties>
</file>