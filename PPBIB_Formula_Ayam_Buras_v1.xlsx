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si Bahan Baku" sheetId="1" state="visible" r:id="rId1"/>
    <sheet name="Formula Builder" sheetId="2" state="visible" r:id="rId2"/>
    <sheet name="Ringkasan Formu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&quot;Rp &quot;#,##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sz val="8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DC3E6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D966"/>
      </patternFill>
    </fill>
    <fill>
      <patternFill patternType="solid">
        <fgColor rgb="00F8CBAD"/>
      </patternFill>
    </fill>
    <fill>
      <patternFill patternType="solid">
        <fgColor rgb="00FFFACD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3" fontId="4" fillId="6" borderId="2" applyAlignment="1" pivotButton="0" quotePrefix="0" xfId="0">
      <alignment horizontal="center" vertical="center" wrapText="1"/>
    </xf>
    <xf numFmtId="2" fontId="4" fillId="5" borderId="2" applyAlignment="1" pivotButton="0" quotePrefix="0" xfId="0">
      <alignment horizontal="center" vertical="center" wrapText="1"/>
    </xf>
    <xf numFmtId="164" fontId="4" fillId="5" borderId="2" applyAlignment="1" pivotButton="0" quotePrefix="0" xfId="0">
      <alignment horizontal="center" vertical="center" wrapText="1"/>
    </xf>
    <xf numFmtId="3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2" fontId="4" fillId="7" borderId="2" applyAlignment="1" pivotButton="0" quotePrefix="0" xfId="0">
      <alignment horizontal="center" vertical="center" wrapText="1"/>
    </xf>
    <xf numFmtId="164" fontId="4" fillId="7" borderId="2" applyAlignment="1" pivotButton="0" quotePrefix="0" xfId="0">
      <alignment horizontal="center" vertical="center" wrapText="1"/>
    </xf>
    <xf numFmtId="3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3" fontId="5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2" fontId="5" fillId="6" borderId="2" applyAlignment="1" pivotButton="0" quotePrefix="0" xfId="0">
      <alignment horizontal="center" vertical="center" wrapText="1"/>
    </xf>
    <xf numFmtId="2" fontId="4" fillId="8" borderId="2" applyAlignment="1" pivotButton="0" quotePrefix="0" xfId="0">
      <alignment horizontal="center" vertical="center" wrapText="1"/>
    </xf>
    <xf numFmtId="164" fontId="4" fillId="8" borderId="2" applyAlignment="1" pivotButton="0" quotePrefix="0" xfId="0">
      <alignment horizontal="center" vertical="center" wrapText="1"/>
    </xf>
    <xf numFmtId="3" fontId="4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2" fontId="5" fillId="9" borderId="2" applyAlignment="1" pivotButton="0" quotePrefix="0" xfId="0">
      <alignment horizontal="center" vertical="center" wrapText="1"/>
    </xf>
    <xf numFmtId="164" fontId="5" fillId="9" borderId="2" applyAlignment="1" pivotButton="0" quotePrefix="0" xfId="0">
      <alignment horizontal="center" vertical="center" wrapText="1"/>
    </xf>
    <xf numFmtId="3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left" vertical="center" wrapText="1"/>
    </xf>
    <xf numFmtId="165" fontId="5" fillId="8" borderId="2" applyAlignment="1" pivotButton="0" quotePrefix="0" xfId="0">
      <alignment horizontal="center" vertical="center" wrapText="1"/>
    </xf>
    <xf numFmtId="2" fontId="5" fillId="8" borderId="2" applyAlignment="1" pivotButton="0" quotePrefix="0" xfId="0">
      <alignment horizontal="center" vertical="center" wrapText="1"/>
    </xf>
    <xf numFmtId="164" fontId="5" fillId="8" borderId="2" applyAlignment="1" pivotButton="0" quotePrefix="0" xfId="0">
      <alignment horizontal="center" vertical="center" wrapText="1"/>
    </xf>
    <xf numFmtId="3" fontId="5" fillId="8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 wrapText="1"/>
    </xf>
    <xf numFmtId="165" fontId="5" fillId="6" borderId="2" applyAlignment="1" pivotButton="0" quotePrefix="0" xfId="0">
      <alignment horizontal="center" vertical="center" wrapText="1"/>
    </xf>
    <xf numFmtId="164" fontId="5" fillId="6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left" vertical="center" wrapText="1"/>
    </xf>
    <xf numFmtId="165" fontId="5" fillId="10" borderId="2" applyAlignment="1" pivotButton="0" quotePrefix="0" xfId="0">
      <alignment horizontal="center" vertical="center" wrapText="1"/>
    </xf>
    <xf numFmtId="2" fontId="5" fillId="10" borderId="2" applyAlignment="1" pivotButton="0" quotePrefix="0" xfId="0">
      <alignment horizontal="center" vertical="center" wrapText="1"/>
    </xf>
    <xf numFmtId="164" fontId="5" fillId="10" borderId="2" applyAlignment="1" pivotButton="0" quotePrefix="0" xfId="0">
      <alignment horizontal="center" vertical="center" wrapText="1"/>
    </xf>
    <xf numFmtId="3" fontId="5" fillId="10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165" fontId="4" fillId="8" borderId="2" applyAlignment="1" pivotButton="0" quotePrefix="0" xfId="0">
      <alignment horizontal="center" vertical="center" wrapText="1"/>
    </xf>
    <xf numFmtId="165" fontId="5" fillId="9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166" fontId="5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8" customWidth="1" min="15" max="15"/>
  </cols>
  <sheetData>
    <row r="1" ht="24" customHeight="1">
      <c r="A1" s="1" t="inlineStr">
        <is>
          <t>REFERENSI NILAI NUTRISI — FORMULA PAKAN AYAM BURAS (PPBIB)</t>
        </is>
      </c>
    </row>
    <row r="2" ht="20" customHeight="1">
      <c r="A2" s="2" t="inlineStr">
        <is>
          <t>ME = Energi Metabolis untuk Unggas. Kolom ORANGE (Harga) = update sesuai harga pasar lokal.</t>
        </is>
      </c>
    </row>
    <row r="3" ht="38" customHeight="1">
      <c r="A3" s="3" t="inlineStr">
        <is>
          <t>No</t>
        </is>
      </c>
      <c r="B3" s="3" t="inlineStr">
        <is>
          <t>Nama Bahan</t>
        </is>
      </c>
      <c r="C3" s="3" t="inlineStr">
        <is>
          <t>Harga/kg
(Rp)</t>
        </is>
      </c>
      <c r="D3" s="3" t="inlineStr">
        <is>
          <t>Kadar Air
(%)</t>
        </is>
      </c>
      <c r="E3" s="3" t="inlineStr">
        <is>
          <t>Protein
(%)</t>
        </is>
      </c>
      <c r="F3" s="3" t="inlineStr">
        <is>
          <t>Lemak
(%)</t>
        </is>
      </c>
      <c r="G3" s="3" t="inlineStr">
        <is>
          <t>Serat Kasar
(%)</t>
        </is>
      </c>
      <c r="H3" s="3" t="inlineStr">
        <is>
          <t>Abu
(%)</t>
        </is>
      </c>
      <c r="I3" s="3" t="inlineStr">
        <is>
          <t>Ca
(%)</t>
        </is>
      </c>
      <c r="J3" s="3" t="inlineStr">
        <is>
          <t>Fosfor tsd
(%)</t>
        </is>
      </c>
      <c r="K3" s="3" t="inlineStr">
        <is>
          <t>ME
(kcal/kg)</t>
        </is>
      </c>
      <c r="L3" s="3" t="inlineStr">
        <is>
          <t>Lisin
(%)</t>
        </is>
      </c>
      <c r="M3" s="3" t="inlineStr">
        <is>
          <t>Metionin
(%)</t>
        </is>
      </c>
      <c r="N3" s="3" t="inlineStr">
        <is>
          <t>Harga Prot
(Rp/%)</t>
        </is>
      </c>
      <c r="O3" s="3" t="inlineStr">
        <is>
          <t>Kategori</t>
        </is>
      </c>
    </row>
    <row r="4">
      <c r="A4" s="4" t="n">
        <v>1</v>
      </c>
      <c r="B4" s="5" t="inlineStr">
        <is>
          <t>Jagung</t>
        </is>
      </c>
      <c r="C4" s="6" t="n">
        <v>6000</v>
      </c>
      <c r="D4" s="7" t="n">
        <v>13</v>
      </c>
      <c r="E4" s="7" t="n">
        <v>8</v>
      </c>
      <c r="F4" s="7" t="n">
        <v>3.8</v>
      </c>
      <c r="G4" s="7" t="n">
        <v>2.2</v>
      </c>
      <c r="H4" s="7" t="n">
        <v>1.76</v>
      </c>
      <c r="I4" s="8" t="n">
        <v>0.03</v>
      </c>
      <c r="J4" s="8" t="n">
        <v>0.08</v>
      </c>
      <c r="K4" s="9" t="n">
        <v>3300</v>
      </c>
      <c r="L4" s="8" t="n">
        <v>0.25</v>
      </c>
      <c r="M4" s="8" t="n">
        <v>0.18</v>
      </c>
      <c r="N4" s="9">
        <f>C4/E4</f>
        <v/>
      </c>
      <c r="O4" s="5" t="inlineStr">
        <is>
          <t>Energi</t>
        </is>
      </c>
    </row>
    <row r="5">
      <c r="A5" s="10" t="n">
        <v>2</v>
      </c>
      <c r="B5" s="11" t="inlineStr">
        <is>
          <t>Gaplek</t>
        </is>
      </c>
      <c r="C5" s="6" t="n">
        <v>3500</v>
      </c>
      <c r="D5" s="12" t="n">
        <v>14</v>
      </c>
      <c r="E5" s="12" t="n">
        <v>2</v>
      </c>
      <c r="F5" s="12" t="n">
        <v>0.5</v>
      </c>
      <c r="G5" s="12" t="n">
        <v>4</v>
      </c>
      <c r="H5" s="12" t="n">
        <v>2</v>
      </c>
      <c r="I5" s="13" t="n">
        <v>0.1</v>
      </c>
      <c r="J5" s="13" t="n">
        <v>0.04</v>
      </c>
      <c r="K5" s="14" t="n">
        <v>3200</v>
      </c>
      <c r="L5" s="13" t="n">
        <v>0.05</v>
      </c>
      <c r="M5" s="13" t="n">
        <v>0.02</v>
      </c>
      <c r="N5" s="14">
        <f>C5/E5</f>
        <v/>
      </c>
      <c r="O5" s="11" t="inlineStr">
        <is>
          <t>Energi</t>
        </is>
      </c>
    </row>
    <row r="6">
      <c r="A6" s="4" t="n">
        <v>3</v>
      </c>
      <c r="B6" s="5" t="inlineStr">
        <is>
          <t>Polar (Wheat Pollard)</t>
        </is>
      </c>
      <c r="C6" s="6" t="n">
        <v>4050</v>
      </c>
      <c r="D6" s="7" t="n">
        <v>13</v>
      </c>
      <c r="E6" s="7" t="n">
        <v>14</v>
      </c>
      <c r="F6" s="7" t="n">
        <v>3.5</v>
      </c>
      <c r="G6" s="7" t="n">
        <v>8</v>
      </c>
      <c r="H6" s="7" t="n">
        <v>5</v>
      </c>
      <c r="I6" s="8" t="n">
        <v>0.15</v>
      </c>
      <c r="J6" s="8" t="n">
        <v>0.35</v>
      </c>
      <c r="K6" s="9" t="n">
        <v>1600</v>
      </c>
      <c r="L6" s="8" t="n">
        <v>0.55</v>
      </c>
      <c r="M6" s="8" t="n">
        <v>0.25</v>
      </c>
      <c r="N6" s="9">
        <f>C6/E6</f>
        <v/>
      </c>
      <c r="O6" s="5" t="inlineStr">
        <is>
          <t>Protein/Energi</t>
        </is>
      </c>
    </row>
    <row r="7">
      <c r="A7" s="10" t="n">
        <v>4</v>
      </c>
      <c r="B7" s="11" t="inlineStr">
        <is>
          <t>CGF (Corn Gluten Feed)</t>
        </is>
      </c>
      <c r="C7" s="6" t="n">
        <v>5000</v>
      </c>
      <c r="D7" s="12" t="n">
        <v>10</v>
      </c>
      <c r="E7" s="12" t="n">
        <v>24.39</v>
      </c>
      <c r="F7" s="12" t="n">
        <v>2.2</v>
      </c>
      <c r="G7" s="12" t="n">
        <v>7.27</v>
      </c>
      <c r="H7" s="12" t="n">
        <v>6.4</v>
      </c>
      <c r="I7" s="13" t="n">
        <v>0.15</v>
      </c>
      <c r="J7" s="13" t="n">
        <v>0.3</v>
      </c>
      <c r="K7" s="14" t="n">
        <v>1890</v>
      </c>
      <c r="L7" s="13" t="n">
        <v>0.65</v>
      </c>
      <c r="M7" s="13" t="n">
        <v>0.4</v>
      </c>
      <c r="N7" s="14">
        <f>C7/E7</f>
        <v/>
      </c>
      <c r="O7" s="11" t="inlineStr">
        <is>
          <t>Protein Nabati</t>
        </is>
      </c>
    </row>
    <row r="8">
      <c r="A8" s="4" t="n">
        <v>5</v>
      </c>
      <c r="B8" s="5" t="inlineStr">
        <is>
          <t>SBM (Bungkil Kedelai)</t>
        </is>
      </c>
      <c r="C8" s="6" t="n">
        <v>8500</v>
      </c>
      <c r="D8" s="7" t="n">
        <v>11</v>
      </c>
      <c r="E8" s="7" t="n">
        <v>45.53</v>
      </c>
      <c r="F8" s="7" t="n">
        <v>1.76</v>
      </c>
      <c r="G8" s="7" t="n">
        <v>5.89</v>
      </c>
      <c r="H8" s="7" t="n">
        <v>6.24</v>
      </c>
      <c r="I8" s="8" t="n">
        <v>0.3</v>
      </c>
      <c r="J8" s="8" t="n">
        <v>0.22</v>
      </c>
      <c r="K8" s="9" t="n">
        <v>2240</v>
      </c>
      <c r="L8" s="8" t="n">
        <v>2.92</v>
      </c>
      <c r="M8" s="8" t="n">
        <v>0.64</v>
      </c>
      <c r="N8" s="9">
        <f>C8/E8</f>
        <v/>
      </c>
      <c r="O8" s="5" t="inlineStr">
        <is>
          <t>Protein Nabati</t>
        </is>
      </c>
    </row>
    <row r="9">
      <c r="A9" s="10" t="n">
        <v>6</v>
      </c>
      <c r="B9" s="11" t="inlineStr">
        <is>
          <t>CGM (Corn Gluten Meal)</t>
        </is>
      </c>
      <c r="C9" s="6" t="n">
        <v>10000</v>
      </c>
      <c r="D9" s="12" t="n">
        <v>10</v>
      </c>
      <c r="E9" s="12" t="n">
        <v>64</v>
      </c>
      <c r="F9" s="12" t="n">
        <v>2.91</v>
      </c>
      <c r="G9" s="12" t="n">
        <v>0.8</v>
      </c>
      <c r="H9" s="12" t="n">
        <v>2.68</v>
      </c>
      <c r="I9" s="13" t="n">
        <v>0.03</v>
      </c>
      <c r="J9" s="13" t="n">
        <v>0.08</v>
      </c>
      <c r="K9" s="14" t="n">
        <v>3450</v>
      </c>
      <c r="L9" s="13" t="n">
        <v>1</v>
      </c>
      <c r="M9" s="13" t="n">
        <v>1.72</v>
      </c>
      <c r="N9" s="14">
        <f>C9/E9</f>
        <v/>
      </c>
      <c r="O9" s="11" t="inlineStr">
        <is>
          <t>Protein Nabati</t>
        </is>
      </c>
    </row>
    <row r="10">
      <c r="A10" s="4" t="n">
        <v>7</v>
      </c>
      <c r="B10" s="5" t="inlineStr">
        <is>
          <t>MBM (Meat Bone Meal)</t>
        </is>
      </c>
      <c r="C10" s="6" t="n">
        <v>10000</v>
      </c>
      <c r="D10" s="7" t="n">
        <v>6</v>
      </c>
      <c r="E10" s="7" t="n">
        <v>52.57</v>
      </c>
      <c r="F10" s="7" t="n">
        <v>8.82</v>
      </c>
      <c r="G10" s="7" t="n">
        <v>2.41</v>
      </c>
      <c r="H10" s="7" t="n">
        <v>29.53</v>
      </c>
      <c r="I10" s="8" t="n">
        <v>9.5</v>
      </c>
      <c r="J10" s="8" t="n">
        <v>4.5</v>
      </c>
      <c r="K10" s="9" t="n">
        <v>2375</v>
      </c>
      <c r="L10" s="8" t="n">
        <v>2.8</v>
      </c>
      <c r="M10" s="8" t="n">
        <v>0.65</v>
      </c>
      <c r="N10" s="9">
        <f>C10/E10</f>
        <v/>
      </c>
      <c r="O10" s="5" t="inlineStr">
        <is>
          <t>Protein Hewani</t>
        </is>
      </c>
    </row>
    <row r="11">
      <c r="A11" s="10" t="n">
        <v>8</v>
      </c>
      <c r="B11" s="11" t="inlineStr">
        <is>
          <t>Mineral (Ca-P supp.)</t>
        </is>
      </c>
      <c r="C11" s="6" t="n">
        <v>8000</v>
      </c>
      <c r="D11" s="12" t="n">
        <v>2</v>
      </c>
      <c r="E11" s="12" t="n">
        <v>0</v>
      </c>
      <c r="F11" s="12" t="n">
        <v>0</v>
      </c>
      <c r="G11" s="12" t="n">
        <v>0</v>
      </c>
      <c r="H11" s="12" t="n">
        <v>0</v>
      </c>
      <c r="I11" s="13" t="n">
        <v>22</v>
      </c>
      <c r="J11" s="13" t="n">
        <v>18</v>
      </c>
      <c r="K11" s="14" t="n"/>
      <c r="L11" s="13" t="n">
        <v>0</v>
      </c>
      <c r="M11" s="13" t="n">
        <v>0</v>
      </c>
      <c r="N11" s="14" t="n"/>
      <c r="O11" s="11" t="inlineStr">
        <is>
          <t>Mineral</t>
        </is>
      </c>
    </row>
    <row r="12">
      <c r="A12" s="4" t="n">
        <v>9</v>
      </c>
      <c r="B12" s="5" t="inlineStr">
        <is>
          <t>Top Mix (Premix)</t>
        </is>
      </c>
      <c r="C12" s="6" t="n">
        <v>25000</v>
      </c>
      <c r="D12" s="7" t="n">
        <v>1</v>
      </c>
      <c r="E12" s="7" t="n">
        <v>0</v>
      </c>
      <c r="F12" s="7" t="n">
        <v>0</v>
      </c>
      <c r="G12" s="7" t="n">
        <v>0</v>
      </c>
      <c r="H12" s="7" t="n">
        <v>0</v>
      </c>
      <c r="I12" s="8" t="n">
        <v>0</v>
      </c>
      <c r="J12" s="8" t="n">
        <v>0</v>
      </c>
      <c r="K12" s="9" t="n"/>
      <c r="L12" s="8" t="n">
        <v>0</v>
      </c>
      <c r="M12" s="8" t="n">
        <v>0</v>
      </c>
      <c r="N12" s="9" t="n"/>
      <c r="O12" s="5" t="inlineStr">
        <is>
          <t>Vitamin-Mineral</t>
        </is>
      </c>
    </row>
    <row r="13">
      <c r="A13" s="10" t="n">
        <v>10</v>
      </c>
      <c r="B13" s="11" t="inlineStr">
        <is>
          <t>L-Lisin HCl</t>
        </is>
      </c>
      <c r="C13" s="6" t="n">
        <v>50000</v>
      </c>
      <c r="D13" s="12" t="n">
        <v>2</v>
      </c>
      <c r="E13" s="12" t="n">
        <v>95.8</v>
      </c>
      <c r="F13" s="12" t="n">
        <v>0</v>
      </c>
      <c r="G13" s="12" t="n">
        <v>0</v>
      </c>
      <c r="H13" s="12" t="n">
        <v>0</v>
      </c>
      <c r="I13" s="13" t="n">
        <v>0</v>
      </c>
      <c r="J13" s="13" t="n">
        <v>0</v>
      </c>
      <c r="K13" s="14" t="n">
        <v>3990</v>
      </c>
      <c r="L13" s="13" t="n">
        <v>78</v>
      </c>
      <c r="M13" s="13" t="n">
        <v>0</v>
      </c>
      <c r="N13" s="14">
        <f>C13/E13</f>
        <v/>
      </c>
      <c r="O13" s="11" t="inlineStr">
        <is>
          <t>Asam Amino</t>
        </is>
      </c>
    </row>
    <row r="14">
      <c r="A14" s="4" t="n">
        <v>11</v>
      </c>
      <c r="B14" s="5" t="inlineStr">
        <is>
          <t>Propionic Acid</t>
        </is>
      </c>
      <c r="C14" s="6" t="n">
        <v>15000</v>
      </c>
      <c r="D14" s="7" t="n">
        <v>1</v>
      </c>
      <c r="E14" s="7" t="n">
        <v>0</v>
      </c>
      <c r="F14" s="7" t="n">
        <v>0</v>
      </c>
      <c r="G14" s="7" t="n">
        <v>0</v>
      </c>
      <c r="H14" s="7" t="n">
        <v>0</v>
      </c>
      <c r="I14" s="8" t="n">
        <v>0</v>
      </c>
      <c r="J14" s="8" t="n">
        <v>0</v>
      </c>
      <c r="K14" s="9" t="n"/>
      <c r="L14" s="8" t="n">
        <v>0</v>
      </c>
      <c r="M14" s="8" t="n">
        <v>0</v>
      </c>
      <c r="N14" s="9" t="n"/>
      <c r="O14" s="5" t="inlineStr">
        <is>
          <t>Aditif (pengawet)</t>
        </is>
      </c>
    </row>
    <row r="15">
      <c r="A15" s="10" t="n">
        <v>12</v>
      </c>
      <c r="B15" s="11" t="inlineStr">
        <is>
          <t>Choline Chloride 60%</t>
        </is>
      </c>
      <c r="C15" s="6" t="n">
        <v>50000</v>
      </c>
      <c r="D15" s="12" t="n">
        <v>2</v>
      </c>
      <c r="E15" s="12" t="n">
        <v>0</v>
      </c>
      <c r="F15" s="12" t="n">
        <v>0</v>
      </c>
      <c r="G15" s="12" t="n">
        <v>0</v>
      </c>
      <c r="H15" s="12" t="n">
        <v>0</v>
      </c>
      <c r="I15" s="13" t="n">
        <v>0</v>
      </c>
      <c r="J15" s="13" t="n">
        <v>0</v>
      </c>
      <c r="K15" s="14" t="n"/>
      <c r="L15" s="13" t="n">
        <v>0</v>
      </c>
      <c r="M15" s="13" t="n">
        <v>0</v>
      </c>
      <c r="N15" s="14" t="n"/>
      <c r="O15" s="11" t="inlineStr">
        <is>
          <t>Aditif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3" customWidth="1" min="28" max="28"/>
    <col width="10" customWidth="1" min="29" max="29"/>
  </cols>
  <sheetData>
    <row r="1" ht="26" customHeight="1">
      <c r="A1" s="1" t="inlineStr">
        <is>
          <t>PPBIB — FORMULASI PAKAN AYAM BURAS  |  Fase: GROWER  (SNI Ditjennak / NRC Poultry)</t>
        </is>
      </c>
    </row>
    <row r="2" ht="28" customHeight="1">
      <c r="A2" s="15" t="inlineStr">
        <is>
          <t>Instruktur: Aditiya Nugraha  —  PPBIB  |  Formula dirancang untuk Ayam Buras Grower: Protein 16–18%, ME 2700–2900 kcal/kg</t>
        </is>
      </c>
      <c r="AB2" s="16" t="inlineStr">
        <is>
          <t>⬇ Total Batch
(kg)</t>
        </is>
      </c>
      <c r="AC2" s="17" t="n">
        <v>100</v>
      </c>
    </row>
    <row r="3" ht="38" customHeight="1">
      <c r="A3" s="3" t="inlineStr">
        <is>
          <t>No</t>
        </is>
      </c>
      <c r="B3" s="3" t="inlineStr">
        <is>
          <t>Nama Bahan</t>
        </is>
      </c>
      <c r="C3" s="18" t="inlineStr">
        <is>
          <t>Proporsi
(%)</t>
        </is>
      </c>
      <c r="D3" s="3" t="inlineStr">
        <is>
          <t>Kadar Air
(%)</t>
        </is>
      </c>
      <c r="E3" s="3" t="inlineStr">
        <is>
          <t>Kontrib
Air</t>
        </is>
      </c>
      <c r="F3" s="3" t="inlineStr">
        <is>
          <t>Protein
(%)</t>
        </is>
      </c>
      <c r="G3" s="3" t="inlineStr">
        <is>
          <t>Kontrib
Protein</t>
        </is>
      </c>
      <c r="H3" s="3" t="inlineStr">
        <is>
          <t>Lemak
(%)</t>
        </is>
      </c>
      <c r="I3" s="3" t="inlineStr">
        <is>
          <t>Kontrib
Lemak</t>
        </is>
      </c>
      <c r="J3" s="3" t="inlineStr">
        <is>
          <t>Serat Kasar
(%)</t>
        </is>
      </c>
      <c r="K3" s="3" t="inlineStr">
        <is>
          <t>Kontrib
SK</t>
        </is>
      </c>
      <c r="L3" s="3" t="inlineStr">
        <is>
          <t>Abu
(%)</t>
        </is>
      </c>
      <c r="M3" s="3" t="inlineStr">
        <is>
          <t>Kontrib
Abu</t>
        </is>
      </c>
      <c r="N3" s="3" t="inlineStr">
        <is>
          <t>Ca
(%)</t>
        </is>
      </c>
      <c r="O3" s="3" t="inlineStr">
        <is>
          <t>Kontrib
Ca</t>
        </is>
      </c>
      <c r="P3" s="3" t="inlineStr">
        <is>
          <t>Fosfor tsd
(%)</t>
        </is>
      </c>
      <c r="Q3" s="3" t="inlineStr">
        <is>
          <t>Kontrib
P</t>
        </is>
      </c>
      <c r="R3" s="3" t="inlineStr">
        <is>
          <t>ME
(kcal/kg)</t>
        </is>
      </c>
      <c r="S3" s="3" t="inlineStr">
        <is>
          <t>Kontrib
ME</t>
        </is>
      </c>
      <c r="T3" s="3" t="inlineStr">
        <is>
          <t>Lisin
(%)</t>
        </is>
      </c>
      <c r="U3" s="3" t="inlineStr">
        <is>
          <t>Kontrib
Lisin</t>
        </is>
      </c>
      <c r="V3" s="3" t="inlineStr">
        <is>
          <t>Metionin
(%)</t>
        </is>
      </c>
      <c r="W3" s="3" t="inlineStr">
        <is>
          <t>Kontrib
Met</t>
        </is>
      </c>
      <c r="X3" s="3" t="inlineStr">
        <is>
          <t>Harga/kg
(Rp)</t>
        </is>
      </c>
      <c r="Y3" s="3" t="inlineStr">
        <is>
          <t>Biaya/kg
Pakan</t>
        </is>
      </c>
      <c r="Z3" s="3" t="inlineStr">
        <is>
          <t>Proporsi
(kg)</t>
        </is>
      </c>
    </row>
    <row r="4" ht="22" customHeight="1">
      <c r="A4" s="19" t="inlineStr">
        <is>
          <t>No</t>
        </is>
      </c>
      <c r="B4" s="19" t="inlineStr">
        <is>
          <t>Nama Bahan</t>
        </is>
      </c>
      <c r="C4" s="20" t="inlineStr">
        <is>
          <t>← UBAH INI</t>
        </is>
      </c>
      <c r="D4" s="19" t="inlineStr">
        <is>
          <t>Auto-Ref</t>
        </is>
      </c>
      <c r="E4" s="19">
        <f>C×D÷100</f>
        <v/>
      </c>
      <c r="F4" s="19" t="inlineStr">
        <is>
          <t>Auto-Ref</t>
        </is>
      </c>
      <c r="G4" s="19">
        <f>C×F÷100</f>
        <v/>
      </c>
      <c r="H4" s="19" t="inlineStr">
        <is>
          <t>Auto-Ref</t>
        </is>
      </c>
      <c r="I4" s="19">
        <f>C×H÷100</f>
        <v/>
      </c>
      <c r="J4" s="19" t="inlineStr">
        <is>
          <t>Auto-Ref</t>
        </is>
      </c>
      <c r="K4" s="19">
        <f>C×J÷100</f>
        <v/>
      </c>
      <c r="L4" s="19" t="inlineStr">
        <is>
          <t>Auto-Ref</t>
        </is>
      </c>
      <c r="M4" s="19">
        <f>C×L÷100</f>
        <v/>
      </c>
      <c r="N4" s="19" t="inlineStr">
        <is>
          <t>Auto-Ref</t>
        </is>
      </c>
      <c r="O4" s="19">
        <f>C×N÷100</f>
        <v/>
      </c>
      <c r="P4" s="19" t="inlineStr">
        <is>
          <t>Auto-Ref</t>
        </is>
      </c>
      <c r="Q4" s="19">
        <f>C×P÷100</f>
        <v/>
      </c>
      <c r="R4" s="19" t="inlineStr">
        <is>
          <t>Auto-Ref</t>
        </is>
      </c>
      <c r="S4" s="19">
        <f>C×R÷100</f>
        <v/>
      </c>
      <c r="T4" s="19" t="inlineStr">
        <is>
          <t>Auto-Ref</t>
        </is>
      </c>
      <c r="U4" s="19">
        <f>C×T÷100</f>
        <v/>
      </c>
      <c r="V4" s="19" t="inlineStr">
        <is>
          <t>Auto-Ref</t>
        </is>
      </c>
      <c r="W4" s="19">
        <f>C×V÷100</f>
        <v/>
      </c>
      <c r="X4" s="19" t="inlineStr">
        <is>
          <t>Auto-Ref</t>
        </is>
      </c>
      <c r="Y4" s="19">
        <f>C×X÷100</f>
        <v/>
      </c>
      <c r="Z4" s="19">
        <f>C÷100×batch</f>
        <v/>
      </c>
    </row>
    <row r="5" ht="5" customHeight="1"/>
    <row r="6">
      <c r="A6" s="4" t="n">
        <v>1</v>
      </c>
      <c r="B6" s="5" t="inlineStr">
        <is>
          <t>Jagung</t>
        </is>
      </c>
      <c r="C6" s="21" t="n">
        <v>57.4</v>
      </c>
      <c r="D6" s="22">
        <f>'Referensi Bahan Baku'!D4</f>
        <v/>
      </c>
      <c r="E6" s="22">
        <f>C6*D6/100</f>
        <v/>
      </c>
      <c r="F6" s="22">
        <f>'Referensi Bahan Baku'!E4</f>
        <v/>
      </c>
      <c r="G6" s="22">
        <f>C6*F6/100</f>
        <v/>
      </c>
      <c r="H6" s="22">
        <f>'Referensi Bahan Baku'!F4</f>
        <v/>
      </c>
      <c r="I6" s="22">
        <f>C6*H6/100</f>
        <v/>
      </c>
      <c r="J6" s="22">
        <f>'Referensi Bahan Baku'!G4</f>
        <v/>
      </c>
      <c r="K6" s="22">
        <f>C6*J6/100</f>
        <v/>
      </c>
      <c r="L6" s="22">
        <f>'Referensi Bahan Baku'!H4</f>
        <v/>
      </c>
      <c r="M6" s="22">
        <f>C6*L6/100</f>
        <v/>
      </c>
      <c r="N6" s="23">
        <f>'Referensi Bahan Baku'!I4</f>
        <v/>
      </c>
      <c r="O6" s="23">
        <f>C6*N6/100</f>
        <v/>
      </c>
      <c r="P6" s="23">
        <f>'Referensi Bahan Baku'!J4</f>
        <v/>
      </c>
      <c r="Q6" s="23">
        <f>C6*P6/100</f>
        <v/>
      </c>
      <c r="R6" s="24">
        <f>'Referensi Bahan Baku'!K4</f>
        <v/>
      </c>
      <c r="S6" s="24">
        <f>IF(ISNUMBER(R6),C6*R6/100,0)</f>
        <v/>
      </c>
      <c r="T6" s="23">
        <f>'Referensi Bahan Baku'!L4</f>
        <v/>
      </c>
      <c r="U6" s="23">
        <f>C6*T6/100</f>
        <v/>
      </c>
      <c r="V6" s="23">
        <f>'Referensi Bahan Baku'!M4</f>
        <v/>
      </c>
      <c r="W6" s="23">
        <f>C6*V6/100</f>
        <v/>
      </c>
      <c r="X6" s="24">
        <f>'Referensi Bahan Baku'!C4</f>
        <v/>
      </c>
      <c r="Y6" s="24">
        <f>C6*X6/100</f>
        <v/>
      </c>
      <c r="Z6" s="23">
        <f>C6/100*$AC$2</f>
        <v/>
      </c>
    </row>
    <row r="7">
      <c r="A7" s="10" t="n">
        <v>2</v>
      </c>
      <c r="B7" s="11" t="inlineStr">
        <is>
          <t>Gaplek</t>
        </is>
      </c>
      <c r="C7" s="21" t="n">
        <v>4</v>
      </c>
      <c r="D7" s="22">
        <f>'Referensi Bahan Baku'!D5</f>
        <v/>
      </c>
      <c r="E7" s="22">
        <f>C7*D7/100</f>
        <v/>
      </c>
      <c r="F7" s="22">
        <f>'Referensi Bahan Baku'!E5</f>
        <v/>
      </c>
      <c r="G7" s="22">
        <f>C7*F7/100</f>
        <v/>
      </c>
      <c r="H7" s="22">
        <f>'Referensi Bahan Baku'!F5</f>
        <v/>
      </c>
      <c r="I7" s="22">
        <f>C7*H7/100</f>
        <v/>
      </c>
      <c r="J7" s="22">
        <f>'Referensi Bahan Baku'!G5</f>
        <v/>
      </c>
      <c r="K7" s="22">
        <f>C7*J7/100</f>
        <v/>
      </c>
      <c r="L7" s="22">
        <f>'Referensi Bahan Baku'!H5</f>
        <v/>
      </c>
      <c r="M7" s="22">
        <f>C7*L7/100</f>
        <v/>
      </c>
      <c r="N7" s="23">
        <f>'Referensi Bahan Baku'!I5</f>
        <v/>
      </c>
      <c r="O7" s="23">
        <f>C7*N7/100</f>
        <v/>
      </c>
      <c r="P7" s="23">
        <f>'Referensi Bahan Baku'!J5</f>
        <v/>
      </c>
      <c r="Q7" s="23">
        <f>C7*P7/100</f>
        <v/>
      </c>
      <c r="R7" s="24">
        <f>'Referensi Bahan Baku'!K5</f>
        <v/>
      </c>
      <c r="S7" s="24">
        <f>IF(ISNUMBER(R7),C7*R7/100,0)</f>
        <v/>
      </c>
      <c r="T7" s="23">
        <f>'Referensi Bahan Baku'!L5</f>
        <v/>
      </c>
      <c r="U7" s="23">
        <f>C7*T7/100</f>
        <v/>
      </c>
      <c r="V7" s="23">
        <f>'Referensi Bahan Baku'!M5</f>
        <v/>
      </c>
      <c r="W7" s="23">
        <f>C7*V7/100</f>
        <v/>
      </c>
      <c r="X7" s="24">
        <f>'Referensi Bahan Baku'!C5</f>
        <v/>
      </c>
      <c r="Y7" s="24">
        <f>C7*X7/100</f>
        <v/>
      </c>
      <c r="Z7" s="23">
        <f>C7/100*$AC$2</f>
        <v/>
      </c>
    </row>
    <row r="8">
      <c r="A8" s="4" t="n">
        <v>3</v>
      </c>
      <c r="B8" s="5" t="inlineStr">
        <is>
          <t>Polar (Wheat Pollard)</t>
        </is>
      </c>
      <c r="C8" s="21" t="n">
        <v>10</v>
      </c>
      <c r="D8" s="22">
        <f>'Referensi Bahan Baku'!D6</f>
        <v/>
      </c>
      <c r="E8" s="22">
        <f>C8*D8/100</f>
        <v/>
      </c>
      <c r="F8" s="22">
        <f>'Referensi Bahan Baku'!E6</f>
        <v/>
      </c>
      <c r="G8" s="22">
        <f>C8*F8/100</f>
        <v/>
      </c>
      <c r="H8" s="22">
        <f>'Referensi Bahan Baku'!F6</f>
        <v/>
      </c>
      <c r="I8" s="22">
        <f>C8*H8/100</f>
        <v/>
      </c>
      <c r="J8" s="22">
        <f>'Referensi Bahan Baku'!G6</f>
        <v/>
      </c>
      <c r="K8" s="22">
        <f>C8*J8/100</f>
        <v/>
      </c>
      <c r="L8" s="22">
        <f>'Referensi Bahan Baku'!H6</f>
        <v/>
      </c>
      <c r="M8" s="22">
        <f>C8*L8/100</f>
        <v/>
      </c>
      <c r="N8" s="23">
        <f>'Referensi Bahan Baku'!I6</f>
        <v/>
      </c>
      <c r="O8" s="23">
        <f>C8*N8/100</f>
        <v/>
      </c>
      <c r="P8" s="23">
        <f>'Referensi Bahan Baku'!J6</f>
        <v/>
      </c>
      <c r="Q8" s="23">
        <f>C8*P8/100</f>
        <v/>
      </c>
      <c r="R8" s="24">
        <f>'Referensi Bahan Baku'!K6</f>
        <v/>
      </c>
      <c r="S8" s="24">
        <f>IF(ISNUMBER(R8),C8*R8/100,0)</f>
        <v/>
      </c>
      <c r="T8" s="23">
        <f>'Referensi Bahan Baku'!L6</f>
        <v/>
      </c>
      <c r="U8" s="23">
        <f>C8*T8/100</f>
        <v/>
      </c>
      <c r="V8" s="23">
        <f>'Referensi Bahan Baku'!M6</f>
        <v/>
      </c>
      <c r="W8" s="23">
        <f>C8*V8/100</f>
        <v/>
      </c>
      <c r="X8" s="24">
        <f>'Referensi Bahan Baku'!C6</f>
        <v/>
      </c>
      <c r="Y8" s="24">
        <f>C8*X8/100</f>
        <v/>
      </c>
      <c r="Z8" s="23">
        <f>C8/100*$AC$2</f>
        <v/>
      </c>
    </row>
    <row r="9">
      <c r="A9" s="10" t="n">
        <v>4</v>
      </c>
      <c r="B9" s="11" t="inlineStr">
        <is>
          <t>CGF (Corn Gluten Feed)</t>
        </is>
      </c>
      <c r="C9" s="21" t="n">
        <v>8</v>
      </c>
      <c r="D9" s="22">
        <f>'Referensi Bahan Baku'!D7</f>
        <v/>
      </c>
      <c r="E9" s="22">
        <f>C9*D9/100</f>
        <v/>
      </c>
      <c r="F9" s="22">
        <f>'Referensi Bahan Baku'!E7</f>
        <v/>
      </c>
      <c r="G9" s="22">
        <f>C9*F9/100</f>
        <v/>
      </c>
      <c r="H9" s="22">
        <f>'Referensi Bahan Baku'!F7</f>
        <v/>
      </c>
      <c r="I9" s="22">
        <f>C9*H9/100</f>
        <v/>
      </c>
      <c r="J9" s="22">
        <f>'Referensi Bahan Baku'!G7</f>
        <v/>
      </c>
      <c r="K9" s="22">
        <f>C9*J9/100</f>
        <v/>
      </c>
      <c r="L9" s="22">
        <f>'Referensi Bahan Baku'!H7</f>
        <v/>
      </c>
      <c r="M9" s="22">
        <f>C9*L9/100</f>
        <v/>
      </c>
      <c r="N9" s="23">
        <f>'Referensi Bahan Baku'!I7</f>
        <v/>
      </c>
      <c r="O9" s="23">
        <f>C9*N9/100</f>
        <v/>
      </c>
      <c r="P9" s="23">
        <f>'Referensi Bahan Baku'!J7</f>
        <v/>
      </c>
      <c r="Q9" s="23">
        <f>C9*P9/100</f>
        <v/>
      </c>
      <c r="R9" s="24">
        <f>'Referensi Bahan Baku'!K7</f>
        <v/>
      </c>
      <c r="S9" s="24">
        <f>IF(ISNUMBER(R9),C9*R9/100,0)</f>
        <v/>
      </c>
      <c r="T9" s="23">
        <f>'Referensi Bahan Baku'!L7</f>
        <v/>
      </c>
      <c r="U9" s="23">
        <f>C9*T9/100</f>
        <v/>
      </c>
      <c r="V9" s="23">
        <f>'Referensi Bahan Baku'!M7</f>
        <v/>
      </c>
      <c r="W9" s="23">
        <f>C9*V9/100</f>
        <v/>
      </c>
      <c r="X9" s="24">
        <f>'Referensi Bahan Baku'!C7</f>
        <v/>
      </c>
      <c r="Y9" s="24">
        <f>C9*X9/100</f>
        <v/>
      </c>
      <c r="Z9" s="23">
        <f>C9/100*$AC$2</f>
        <v/>
      </c>
    </row>
    <row r="10">
      <c r="A10" s="4" t="n">
        <v>5</v>
      </c>
      <c r="B10" s="5" t="inlineStr">
        <is>
          <t>SBM (Bungkil Kedelai)</t>
        </is>
      </c>
      <c r="C10" s="21" t="n">
        <v>12</v>
      </c>
      <c r="D10" s="22">
        <f>'Referensi Bahan Baku'!D8</f>
        <v/>
      </c>
      <c r="E10" s="22">
        <f>C10*D10/100</f>
        <v/>
      </c>
      <c r="F10" s="22">
        <f>'Referensi Bahan Baku'!E8</f>
        <v/>
      </c>
      <c r="G10" s="22">
        <f>C10*F10/100</f>
        <v/>
      </c>
      <c r="H10" s="22">
        <f>'Referensi Bahan Baku'!F8</f>
        <v/>
      </c>
      <c r="I10" s="22">
        <f>C10*H10/100</f>
        <v/>
      </c>
      <c r="J10" s="22">
        <f>'Referensi Bahan Baku'!G8</f>
        <v/>
      </c>
      <c r="K10" s="22">
        <f>C10*J10/100</f>
        <v/>
      </c>
      <c r="L10" s="22">
        <f>'Referensi Bahan Baku'!H8</f>
        <v/>
      </c>
      <c r="M10" s="22">
        <f>C10*L10/100</f>
        <v/>
      </c>
      <c r="N10" s="23">
        <f>'Referensi Bahan Baku'!I8</f>
        <v/>
      </c>
      <c r="O10" s="23">
        <f>C10*N10/100</f>
        <v/>
      </c>
      <c r="P10" s="23">
        <f>'Referensi Bahan Baku'!J8</f>
        <v/>
      </c>
      <c r="Q10" s="23">
        <f>C10*P10/100</f>
        <v/>
      </c>
      <c r="R10" s="24">
        <f>'Referensi Bahan Baku'!K8</f>
        <v/>
      </c>
      <c r="S10" s="24">
        <f>IF(ISNUMBER(R10),C10*R10/100,0)</f>
        <v/>
      </c>
      <c r="T10" s="23">
        <f>'Referensi Bahan Baku'!L8</f>
        <v/>
      </c>
      <c r="U10" s="23">
        <f>C10*T10/100</f>
        <v/>
      </c>
      <c r="V10" s="23">
        <f>'Referensi Bahan Baku'!M8</f>
        <v/>
      </c>
      <c r="W10" s="23">
        <f>C10*V10/100</f>
        <v/>
      </c>
      <c r="X10" s="24">
        <f>'Referensi Bahan Baku'!C8</f>
        <v/>
      </c>
      <c r="Y10" s="24">
        <f>C10*X10/100</f>
        <v/>
      </c>
      <c r="Z10" s="23">
        <f>C10/100*$AC$2</f>
        <v/>
      </c>
    </row>
    <row r="11">
      <c r="A11" s="10" t="n">
        <v>6</v>
      </c>
      <c r="B11" s="11" t="inlineStr">
        <is>
          <t>CGM (Corn Gluten Meal)</t>
        </is>
      </c>
      <c r="C11" s="21" t="n">
        <v>2</v>
      </c>
      <c r="D11" s="22">
        <f>'Referensi Bahan Baku'!D9</f>
        <v/>
      </c>
      <c r="E11" s="22">
        <f>C11*D11/100</f>
        <v/>
      </c>
      <c r="F11" s="22">
        <f>'Referensi Bahan Baku'!E9</f>
        <v/>
      </c>
      <c r="G11" s="22">
        <f>C11*F11/100</f>
        <v/>
      </c>
      <c r="H11" s="22">
        <f>'Referensi Bahan Baku'!F9</f>
        <v/>
      </c>
      <c r="I11" s="22">
        <f>C11*H11/100</f>
        <v/>
      </c>
      <c r="J11" s="22">
        <f>'Referensi Bahan Baku'!G9</f>
        <v/>
      </c>
      <c r="K11" s="22">
        <f>C11*J11/100</f>
        <v/>
      </c>
      <c r="L11" s="22">
        <f>'Referensi Bahan Baku'!H9</f>
        <v/>
      </c>
      <c r="M11" s="22">
        <f>C11*L11/100</f>
        <v/>
      </c>
      <c r="N11" s="23">
        <f>'Referensi Bahan Baku'!I9</f>
        <v/>
      </c>
      <c r="O11" s="23">
        <f>C11*N11/100</f>
        <v/>
      </c>
      <c r="P11" s="23">
        <f>'Referensi Bahan Baku'!J9</f>
        <v/>
      </c>
      <c r="Q11" s="23">
        <f>C11*P11/100</f>
        <v/>
      </c>
      <c r="R11" s="24">
        <f>'Referensi Bahan Baku'!K9</f>
        <v/>
      </c>
      <c r="S11" s="24">
        <f>IF(ISNUMBER(R11),C11*R11/100,0)</f>
        <v/>
      </c>
      <c r="T11" s="23">
        <f>'Referensi Bahan Baku'!L9</f>
        <v/>
      </c>
      <c r="U11" s="23">
        <f>C11*T11/100</f>
        <v/>
      </c>
      <c r="V11" s="23">
        <f>'Referensi Bahan Baku'!M9</f>
        <v/>
      </c>
      <c r="W11" s="23">
        <f>C11*V11/100</f>
        <v/>
      </c>
      <c r="X11" s="24">
        <f>'Referensi Bahan Baku'!C9</f>
        <v/>
      </c>
      <c r="Y11" s="24">
        <f>C11*X11/100</f>
        <v/>
      </c>
      <c r="Z11" s="23">
        <f>C11/100*$AC$2</f>
        <v/>
      </c>
    </row>
    <row r="12">
      <c r="A12" s="4" t="n">
        <v>7</v>
      </c>
      <c r="B12" s="5" t="inlineStr">
        <is>
          <t>MBM (Meat Bone Meal)</t>
        </is>
      </c>
      <c r="C12" s="21" t="n">
        <v>5</v>
      </c>
      <c r="D12" s="22">
        <f>'Referensi Bahan Baku'!D10</f>
        <v/>
      </c>
      <c r="E12" s="22">
        <f>C12*D12/100</f>
        <v/>
      </c>
      <c r="F12" s="22">
        <f>'Referensi Bahan Baku'!E10</f>
        <v/>
      </c>
      <c r="G12" s="22">
        <f>C12*F12/100</f>
        <v/>
      </c>
      <c r="H12" s="22">
        <f>'Referensi Bahan Baku'!F10</f>
        <v/>
      </c>
      <c r="I12" s="22">
        <f>C12*H12/100</f>
        <v/>
      </c>
      <c r="J12" s="22">
        <f>'Referensi Bahan Baku'!G10</f>
        <v/>
      </c>
      <c r="K12" s="22">
        <f>C12*J12/100</f>
        <v/>
      </c>
      <c r="L12" s="22">
        <f>'Referensi Bahan Baku'!H10</f>
        <v/>
      </c>
      <c r="M12" s="22">
        <f>C12*L12/100</f>
        <v/>
      </c>
      <c r="N12" s="23">
        <f>'Referensi Bahan Baku'!I10</f>
        <v/>
      </c>
      <c r="O12" s="23">
        <f>C12*N12/100</f>
        <v/>
      </c>
      <c r="P12" s="23">
        <f>'Referensi Bahan Baku'!J10</f>
        <v/>
      </c>
      <c r="Q12" s="23">
        <f>C12*P12/100</f>
        <v/>
      </c>
      <c r="R12" s="24">
        <f>'Referensi Bahan Baku'!K10</f>
        <v/>
      </c>
      <c r="S12" s="24">
        <f>IF(ISNUMBER(R12),C12*R12/100,0)</f>
        <v/>
      </c>
      <c r="T12" s="23">
        <f>'Referensi Bahan Baku'!L10</f>
        <v/>
      </c>
      <c r="U12" s="23">
        <f>C12*T12/100</f>
        <v/>
      </c>
      <c r="V12" s="23">
        <f>'Referensi Bahan Baku'!M10</f>
        <v/>
      </c>
      <c r="W12" s="23">
        <f>C12*V12/100</f>
        <v/>
      </c>
      <c r="X12" s="24">
        <f>'Referensi Bahan Baku'!C10</f>
        <v/>
      </c>
      <c r="Y12" s="24">
        <f>C12*X12/100</f>
        <v/>
      </c>
      <c r="Z12" s="23">
        <f>C12/100*$AC$2</f>
        <v/>
      </c>
    </row>
    <row r="13">
      <c r="A13" s="10" t="n">
        <v>8</v>
      </c>
      <c r="B13" s="11" t="inlineStr">
        <is>
          <t>Mineral (Ca-P supp.)</t>
        </is>
      </c>
      <c r="C13" s="21" t="n">
        <v>1</v>
      </c>
      <c r="D13" s="22">
        <f>'Referensi Bahan Baku'!D11</f>
        <v/>
      </c>
      <c r="E13" s="22">
        <f>C13*D13/100</f>
        <v/>
      </c>
      <c r="F13" s="22">
        <f>'Referensi Bahan Baku'!E11</f>
        <v/>
      </c>
      <c r="G13" s="22">
        <f>C13*F13/100</f>
        <v/>
      </c>
      <c r="H13" s="22">
        <f>'Referensi Bahan Baku'!F11</f>
        <v/>
      </c>
      <c r="I13" s="22">
        <f>C13*H13/100</f>
        <v/>
      </c>
      <c r="J13" s="22">
        <f>'Referensi Bahan Baku'!G11</f>
        <v/>
      </c>
      <c r="K13" s="22">
        <f>C13*J13/100</f>
        <v/>
      </c>
      <c r="L13" s="22">
        <f>'Referensi Bahan Baku'!H11</f>
        <v/>
      </c>
      <c r="M13" s="22">
        <f>C13*L13/100</f>
        <v/>
      </c>
      <c r="N13" s="23">
        <f>'Referensi Bahan Baku'!I11</f>
        <v/>
      </c>
      <c r="O13" s="23">
        <f>C13*N13/100</f>
        <v/>
      </c>
      <c r="P13" s="23">
        <f>'Referensi Bahan Baku'!J11</f>
        <v/>
      </c>
      <c r="Q13" s="23">
        <f>C13*P13/100</f>
        <v/>
      </c>
      <c r="R13" s="24">
        <f>'Referensi Bahan Baku'!K11</f>
        <v/>
      </c>
      <c r="S13" s="24">
        <f>IF(ISNUMBER(R13),C13*R13/100,0)</f>
        <v/>
      </c>
      <c r="T13" s="23">
        <f>'Referensi Bahan Baku'!L11</f>
        <v/>
      </c>
      <c r="U13" s="23">
        <f>C13*T13/100</f>
        <v/>
      </c>
      <c r="V13" s="23">
        <f>'Referensi Bahan Baku'!M11</f>
        <v/>
      </c>
      <c r="W13" s="23">
        <f>C13*V13/100</f>
        <v/>
      </c>
      <c r="X13" s="24">
        <f>'Referensi Bahan Baku'!C11</f>
        <v/>
      </c>
      <c r="Y13" s="24">
        <f>C13*X13/100</f>
        <v/>
      </c>
      <c r="Z13" s="23">
        <f>C13/100*$AC$2</f>
        <v/>
      </c>
    </row>
    <row r="14">
      <c r="A14" s="4" t="n">
        <v>9</v>
      </c>
      <c r="B14" s="5" t="inlineStr">
        <is>
          <t>Top Mix (Premix)</t>
        </is>
      </c>
      <c r="C14" s="21" t="n">
        <v>0.3</v>
      </c>
      <c r="D14" s="22">
        <f>'Referensi Bahan Baku'!D12</f>
        <v/>
      </c>
      <c r="E14" s="22">
        <f>C14*D14/100</f>
        <v/>
      </c>
      <c r="F14" s="22">
        <f>'Referensi Bahan Baku'!E12</f>
        <v/>
      </c>
      <c r="G14" s="22">
        <f>C14*F14/100</f>
        <v/>
      </c>
      <c r="H14" s="22">
        <f>'Referensi Bahan Baku'!F12</f>
        <v/>
      </c>
      <c r="I14" s="22">
        <f>C14*H14/100</f>
        <v/>
      </c>
      <c r="J14" s="22">
        <f>'Referensi Bahan Baku'!G12</f>
        <v/>
      </c>
      <c r="K14" s="22">
        <f>C14*J14/100</f>
        <v/>
      </c>
      <c r="L14" s="22">
        <f>'Referensi Bahan Baku'!H12</f>
        <v/>
      </c>
      <c r="M14" s="22">
        <f>C14*L14/100</f>
        <v/>
      </c>
      <c r="N14" s="23">
        <f>'Referensi Bahan Baku'!I12</f>
        <v/>
      </c>
      <c r="O14" s="23">
        <f>C14*N14/100</f>
        <v/>
      </c>
      <c r="P14" s="23">
        <f>'Referensi Bahan Baku'!J12</f>
        <v/>
      </c>
      <c r="Q14" s="23">
        <f>C14*P14/100</f>
        <v/>
      </c>
      <c r="R14" s="24">
        <f>'Referensi Bahan Baku'!K12</f>
        <v/>
      </c>
      <c r="S14" s="24">
        <f>IF(ISNUMBER(R14),C14*R14/100,0)</f>
        <v/>
      </c>
      <c r="T14" s="23">
        <f>'Referensi Bahan Baku'!L12</f>
        <v/>
      </c>
      <c r="U14" s="23">
        <f>C14*T14/100</f>
        <v/>
      </c>
      <c r="V14" s="23">
        <f>'Referensi Bahan Baku'!M12</f>
        <v/>
      </c>
      <c r="W14" s="23">
        <f>C14*V14/100</f>
        <v/>
      </c>
      <c r="X14" s="24">
        <f>'Referensi Bahan Baku'!C12</f>
        <v/>
      </c>
      <c r="Y14" s="24">
        <f>C14*X14/100</f>
        <v/>
      </c>
      <c r="Z14" s="23">
        <f>C14/100*$AC$2</f>
        <v/>
      </c>
    </row>
    <row r="15">
      <c r="A15" s="10" t="n">
        <v>10</v>
      </c>
      <c r="B15" s="11" t="inlineStr">
        <is>
          <t>L-Lisin HCl</t>
        </is>
      </c>
      <c r="C15" s="21" t="n">
        <v>0.1</v>
      </c>
      <c r="D15" s="22">
        <f>'Referensi Bahan Baku'!D13</f>
        <v/>
      </c>
      <c r="E15" s="22">
        <f>C15*D15/100</f>
        <v/>
      </c>
      <c r="F15" s="22">
        <f>'Referensi Bahan Baku'!E13</f>
        <v/>
      </c>
      <c r="G15" s="22">
        <f>C15*F15/100</f>
        <v/>
      </c>
      <c r="H15" s="22">
        <f>'Referensi Bahan Baku'!F13</f>
        <v/>
      </c>
      <c r="I15" s="22">
        <f>C15*H15/100</f>
        <v/>
      </c>
      <c r="J15" s="22">
        <f>'Referensi Bahan Baku'!G13</f>
        <v/>
      </c>
      <c r="K15" s="22">
        <f>C15*J15/100</f>
        <v/>
      </c>
      <c r="L15" s="22">
        <f>'Referensi Bahan Baku'!H13</f>
        <v/>
      </c>
      <c r="M15" s="22">
        <f>C15*L15/100</f>
        <v/>
      </c>
      <c r="N15" s="23">
        <f>'Referensi Bahan Baku'!I13</f>
        <v/>
      </c>
      <c r="O15" s="23">
        <f>C15*N15/100</f>
        <v/>
      </c>
      <c r="P15" s="23">
        <f>'Referensi Bahan Baku'!J13</f>
        <v/>
      </c>
      <c r="Q15" s="23">
        <f>C15*P15/100</f>
        <v/>
      </c>
      <c r="R15" s="24">
        <f>'Referensi Bahan Baku'!K13</f>
        <v/>
      </c>
      <c r="S15" s="24">
        <f>IF(ISNUMBER(R15),C15*R15/100,0)</f>
        <v/>
      </c>
      <c r="T15" s="23">
        <f>'Referensi Bahan Baku'!L13</f>
        <v/>
      </c>
      <c r="U15" s="23">
        <f>C15*T15/100</f>
        <v/>
      </c>
      <c r="V15" s="23">
        <f>'Referensi Bahan Baku'!M13</f>
        <v/>
      </c>
      <c r="W15" s="23">
        <f>C15*V15/100</f>
        <v/>
      </c>
      <c r="X15" s="24">
        <f>'Referensi Bahan Baku'!C13</f>
        <v/>
      </c>
      <c r="Y15" s="24">
        <f>C15*X15/100</f>
        <v/>
      </c>
      <c r="Z15" s="23">
        <f>C15/100*$AC$2</f>
        <v/>
      </c>
    </row>
    <row r="16">
      <c r="A16" s="4" t="n">
        <v>11</v>
      </c>
      <c r="B16" s="5" t="inlineStr">
        <is>
          <t>Propionic Acid</t>
        </is>
      </c>
      <c r="C16" s="21" t="n">
        <v>0.1</v>
      </c>
      <c r="D16" s="22">
        <f>'Referensi Bahan Baku'!D14</f>
        <v/>
      </c>
      <c r="E16" s="22">
        <f>C16*D16/100</f>
        <v/>
      </c>
      <c r="F16" s="22">
        <f>'Referensi Bahan Baku'!E14</f>
        <v/>
      </c>
      <c r="G16" s="22">
        <f>C16*F16/100</f>
        <v/>
      </c>
      <c r="H16" s="22">
        <f>'Referensi Bahan Baku'!F14</f>
        <v/>
      </c>
      <c r="I16" s="22">
        <f>C16*H16/100</f>
        <v/>
      </c>
      <c r="J16" s="22">
        <f>'Referensi Bahan Baku'!G14</f>
        <v/>
      </c>
      <c r="K16" s="22">
        <f>C16*J16/100</f>
        <v/>
      </c>
      <c r="L16" s="22">
        <f>'Referensi Bahan Baku'!H14</f>
        <v/>
      </c>
      <c r="M16" s="22">
        <f>C16*L16/100</f>
        <v/>
      </c>
      <c r="N16" s="23">
        <f>'Referensi Bahan Baku'!I14</f>
        <v/>
      </c>
      <c r="O16" s="23">
        <f>C16*N16/100</f>
        <v/>
      </c>
      <c r="P16" s="23">
        <f>'Referensi Bahan Baku'!J14</f>
        <v/>
      </c>
      <c r="Q16" s="23">
        <f>C16*P16/100</f>
        <v/>
      </c>
      <c r="R16" s="24">
        <f>'Referensi Bahan Baku'!K14</f>
        <v/>
      </c>
      <c r="S16" s="24">
        <f>IF(ISNUMBER(R16),C16*R16/100,0)</f>
        <v/>
      </c>
      <c r="T16" s="23">
        <f>'Referensi Bahan Baku'!L14</f>
        <v/>
      </c>
      <c r="U16" s="23">
        <f>C16*T16/100</f>
        <v/>
      </c>
      <c r="V16" s="23">
        <f>'Referensi Bahan Baku'!M14</f>
        <v/>
      </c>
      <c r="W16" s="23">
        <f>C16*V16/100</f>
        <v/>
      </c>
      <c r="X16" s="24">
        <f>'Referensi Bahan Baku'!C14</f>
        <v/>
      </c>
      <c r="Y16" s="24">
        <f>C16*X16/100</f>
        <v/>
      </c>
      <c r="Z16" s="23">
        <f>C16/100*$AC$2</f>
        <v/>
      </c>
    </row>
    <row r="17">
      <c r="A17" s="10" t="n">
        <v>12</v>
      </c>
      <c r="B17" s="11" t="inlineStr">
        <is>
          <t>Choline Chloride 60%</t>
        </is>
      </c>
      <c r="C17" s="21" t="n">
        <v>0.1</v>
      </c>
      <c r="D17" s="22">
        <f>'Referensi Bahan Baku'!D15</f>
        <v/>
      </c>
      <c r="E17" s="22">
        <f>C17*D17/100</f>
        <v/>
      </c>
      <c r="F17" s="22">
        <f>'Referensi Bahan Baku'!E15</f>
        <v/>
      </c>
      <c r="G17" s="22">
        <f>C17*F17/100</f>
        <v/>
      </c>
      <c r="H17" s="22">
        <f>'Referensi Bahan Baku'!F15</f>
        <v/>
      </c>
      <c r="I17" s="22">
        <f>C17*H17/100</f>
        <v/>
      </c>
      <c r="J17" s="22">
        <f>'Referensi Bahan Baku'!G15</f>
        <v/>
      </c>
      <c r="K17" s="22">
        <f>C17*J17/100</f>
        <v/>
      </c>
      <c r="L17" s="22">
        <f>'Referensi Bahan Baku'!H15</f>
        <v/>
      </c>
      <c r="M17" s="22">
        <f>C17*L17/100</f>
        <v/>
      </c>
      <c r="N17" s="23">
        <f>'Referensi Bahan Baku'!I15</f>
        <v/>
      </c>
      <c r="O17" s="23">
        <f>C17*N17/100</f>
        <v/>
      </c>
      <c r="P17" s="23">
        <f>'Referensi Bahan Baku'!J15</f>
        <v/>
      </c>
      <c r="Q17" s="23">
        <f>C17*P17/100</f>
        <v/>
      </c>
      <c r="R17" s="24">
        <f>'Referensi Bahan Baku'!K15</f>
        <v/>
      </c>
      <c r="S17" s="24">
        <f>IF(ISNUMBER(R17),C17*R17/100,0)</f>
        <v/>
      </c>
      <c r="T17" s="23">
        <f>'Referensi Bahan Baku'!L15</f>
        <v/>
      </c>
      <c r="U17" s="23">
        <f>C17*T17/100</f>
        <v/>
      </c>
      <c r="V17" s="23">
        <f>'Referensi Bahan Baku'!M15</f>
        <v/>
      </c>
      <c r="W17" s="23">
        <f>C17*V17/100</f>
        <v/>
      </c>
      <c r="X17" s="24">
        <f>'Referensi Bahan Baku'!C15</f>
        <v/>
      </c>
      <c r="Y17" s="24">
        <f>C17*X17/100</f>
        <v/>
      </c>
      <c r="Z17" s="23">
        <f>C17/100*$AC$2</f>
        <v/>
      </c>
    </row>
    <row r="18" ht="20" customHeight="1">
      <c r="A18" s="25" t="inlineStr">
        <is>
          <t>TOTAL</t>
        </is>
      </c>
      <c r="C18" s="26">
        <f>SUM(C6:C17)</f>
        <v/>
      </c>
      <c r="D18" s="25" t="inlineStr">
        <is>
          <t>—</t>
        </is>
      </c>
      <c r="E18" s="26">
        <f>SUM(E6:E17)</f>
        <v/>
      </c>
      <c r="F18" s="25" t="inlineStr">
        <is>
          <t>—</t>
        </is>
      </c>
      <c r="G18" s="26">
        <f>SUM(G6:G17)</f>
        <v/>
      </c>
      <c r="H18" s="25" t="inlineStr">
        <is>
          <t>—</t>
        </is>
      </c>
      <c r="I18" s="26">
        <f>SUM(I6:I17)</f>
        <v/>
      </c>
      <c r="J18" s="25" t="inlineStr">
        <is>
          <t>—</t>
        </is>
      </c>
      <c r="K18" s="26">
        <f>SUM(K6:K17)</f>
        <v/>
      </c>
      <c r="L18" s="25" t="inlineStr">
        <is>
          <t>—</t>
        </is>
      </c>
      <c r="M18" s="26">
        <f>SUM(M6:M17)</f>
        <v/>
      </c>
      <c r="N18" s="25" t="inlineStr">
        <is>
          <t>—</t>
        </is>
      </c>
      <c r="O18" s="27">
        <f>SUM(O6:O17)</f>
        <v/>
      </c>
      <c r="P18" s="25" t="inlineStr">
        <is>
          <t>—</t>
        </is>
      </c>
      <c r="Q18" s="27">
        <f>SUM(Q6:Q17)</f>
        <v/>
      </c>
      <c r="R18" s="25" t="inlineStr">
        <is>
          <t>—</t>
        </is>
      </c>
      <c r="S18" s="28">
        <f>SUM(S6:S17)</f>
        <v/>
      </c>
      <c r="T18" s="25" t="inlineStr">
        <is>
          <t>—</t>
        </is>
      </c>
      <c r="U18" s="27">
        <f>SUM(U6:U17)</f>
        <v/>
      </c>
      <c r="V18" s="25" t="inlineStr">
        <is>
          <t>—</t>
        </is>
      </c>
      <c r="W18" s="27">
        <f>SUM(W6:W17)</f>
        <v/>
      </c>
      <c r="X18" s="29" t="inlineStr">
        <is>
          <t>Harga Pokok →</t>
        </is>
      </c>
      <c r="Y18" s="28">
        <f>SUM(Y6:Y17)</f>
        <v/>
      </c>
      <c r="Z18" s="26">
        <f>SUM(Z6:Z17)</f>
        <v/>
      </c>
    </row>
    <row r="20" ht="20" customHeight="1">
      <c r="A20" s="30" t="inlineStr">
        <is>
          <t>BATAS &amp; TARGET NUTRISI — AYAM BURAS GROWER</t>
        </is>
      </c>
    </row>
    <row r="21" ht="36" customHeight="1">
      <c r="A21" s="3" t="inlineStr">
        <is>
          <t>Label</t>
        </is>
      </c>
      <c r="B21" s="3" t="inlineStr">
        <is>
          <t>Keterangan</t>
        </is>
      </c>
      <c r="C21" s="3" t="inlineStr">
        <is>
          <t>Total
Proporsi (%)</t>
        </is>
      </c>
      <c r="E21" s="3" t="inlineStr">
        <is>
          <t>Protein
Kasar (%)</t>
        </is>
      </c>
      <c r="G21" s="3" t="inlineStr">
        <is>
          <t>Lemak
Kasar (%)</t>
        </is>
      </c>
      <c r="I21" s="3" t="inlineStr">
        <is>
          <t>Serat
Kasar (%)</t>
        </is>
      </c>
      <c r="K21" s="3" t="inlineStr">
        <is>
          <t>Abu (%)</t>
        </is>
      </c>
      <c r="M21" s="3" t="inlineStr">
        <is>
          <t>Ca (%)</t>
        </is>
      </c>
      <c r="O21" s="3" t="inlineStr">
        <is>
          <t>Fosfor tsd
(%)</t>
        </is>
      </c>
      <c r="Q21" s="3" t="inlineStr">
        <is>
          <t>Kadar Air
(%)</t>
        </is>
      </c>
      <c r="S21" s="3" t="inlineStr">
        <is>
          <t>ME
(kcal/kg)</t>
        </is>
      </c>
      <c r="U21" s="3" t="inlineStr">
        <is>
          <t>Lisin (%)</t>
        </is>
      </c>
      <c r="W21" s="3" t="inlineStr">
        <is>
          <t>Metionin (%)</t>
        </is>
      </c>
      <c r="Y21" s="3" t="inlineStr">
        <is>
          <t>Harga Pokok
(Rp/kg)</t>
        </is>
      </c>
    </row>
    <row r="22" ht="18" customHeight="1">
      <c r="A22" s="31" t="inlineStr">
        <is>
          <t>AKTUAL</t>
        </is>
      </c>
      <c r="B22" s="32" t="inlineStr">
        <is>
          <t>(dari formula atas)</t>
        </is>
      </c>
      <c r="C22" s="33">
        <f>C18</f>
        <v/>
      </c>
      <c r="E22" s="34">
        <f>G18</f>
        <v/>
      </c>
      <c r="G22" s="34">
        <f>I18</f>
        <v/>
      </c>
      <c r="I22" s="34">
        <f>K18</f>
        <v/>
      </c>
      <c r="K22" s="34">
        <f>M18</f>
        <v/>
      </c>
      <c r="M22" s="35">
        <f>O18</f>
        <v/>
      </c>
      <c r="O22" s="35">
        <f>Q18</f>
        <v/>
      </c>
      <c r="Q22" s="34">
        <f>E18</f>
        <v/>
      </c>
      <c r="S22" s="36">
        <f>S18</f>
        <v/>
      </c>
      <c r="U22" s="35">
        <f>U18</f>
        <v/>
      </c>
      <c r="W22" s="35">
        <f>W18</f>
        <v/>
      </c>
      <c r="Y22" s="36">
        <f>Y18</f>
        <v/>
      </c>
    </row>
    <row r="23" ht="18" customHeight="1">
      <c r="A23" s="16" t="inlineStr">
        <is>
          <t>TARGET MIN</t>
        </is>
      </c>
      <c r="B23" s="37" t="inlineStr">
        <is>
          <t>SNI / NRC →</t>
        </is>
      </c>
      <c r="C23" s="38" t="n">
        <v>100</v>
      </c>
      <c r="E23" s="21" t="n">
        <v>16</v>
      </c>
      <c r="G23" s="21" t="n">
        <v>3</v>
      </c>
      <c r="I23" s="21" t="n"/>
      <c r="K23" s="21" t="n"/>
      <c r="M23" s="39" t="n">
        <v>0.7</v>
      </c>
      <c r="O23" s="39" t="n">
        <v>0.35</v>
      </c>
      <c r="Q23" s="21" t="n"/>
      <c r="S23" s="17" t="n">
        <v>2700</v>
      </c>
      <c r="U23" s="39" t="n">
        <v>0.7</v>
      </c>
      <c r="W23" s="39" t="n">
        <v>0.3</v>
      </c>
      <c r="Y23" s="17" t="n"/>
    </row>
    <row r="24" ht="18" customHeight="1">
      <c r="A24" s="40" t="inlineStr">
        <is>
          <t>TARGET MAX</t>
        </is>
      </c>
      <c r="B24" s="41" t="inlineStr">
        <is>
          <t>SNI / NRC →</t>
        </is>
      </c>
      <c r="C24" s="42" t="n">
        <v>100</v>
      </c>
      <c r="E24" s="43" t="n">
        <v>18</v>
      </c>
      <c r="G24" s="43" t="n"/>
      <c r="I24" s="43" t="n">
        <v>8</v>
      </c>
      <c r="K24" s="43" t="n">
        <v>8</v>
      </c>
      <c r="M24" s="44" t="n">
        <v>1</v>
      </c>
      <c r="O24" s="44" t="n"/>
      <c r="Q24" s="43" t="n">
        <v>14</v>
      </c>
      <c r="S24" s="45" t="n">
        <v>2900</v>
      </c>
      <c r="U24" s="44" t="n"/>
      <c r="W24" s="44" t="n"/>
      <c r="Y24" s="45" t="n"/>
    </row>
    <row r="25" ht="18" customHeight="1">
      <c r="A25" s="31" t="inlineStr">
        <is>
          <t>STATUS</t>
        </is>
      </c>
      <c r="B25" s="32" t="inlineStr">
        <is>
          <t>Cek otomatis</t>
        </is>
      </c>
      <c r="C25" s="31">
        <f>IF(AND(C22&gt;=C23,C22&lt;=C24),"✅ OK","⚠️ KURANG")</f>
        <v/>
      </c>
      <c r="E25" s="31">
        <f>IF(AND(E22&gt;=E23,E22&lt;=E24),"✅ OK","⚠️ KURANG")</f>
        <v/>
      </c>
      <c r="G25" s="31">
        <f>IF(G22&gt;=G23,"✅ OK","⚠️ KURANG")</f>
        <v/>
      </c>
      <c r="I25" s="31">
        <f>IF(I22&lt;=I24,"✅ OK","⚠️ KURANG")</f>
        <v/>
      </c>
      <c r="K25" s="31">
        <f>IF(K22&lt;=K24,"✅ OK","⚠️ KURANG")</f>
        <v/>
      </c>
      <c r="M25" s="31">
        <f>IF(AND(M22&gt;=M23,M22&lt;=M24),"✅ OK","⚠️ KURANG")</f>
        <v/>
      </c>
      <c r="O25" s="31">
        <f>IF(O22&gt;=O23,"✅ OK","⚠️ KURANG")</f>
        <v/>
      </c>
      <c r="Q25" s="31">
        <f>IF(Q22&lt;=Q24,"✅ OK","⚠️ KURANG")</f>
        <v/>
      </c>
      <c r="S25" s="31">
        <f>IF(AND(S22&gt;=S23,S22&lt;=S24),"✅ OK","⚠️ KURANG")</f>
        <v/>
      </c>
      <c r="U25" s="31">
        <f>IF(U22&gt;=U23,"✅ OK","⚠️ KURANG")</f>
        <v/>
      </c>
      <c r="W25" s="31">
        <f>IF(W22&gt;=W23,"✅ OK","⚠️ KURANG")</f>
        <v/>
      </c>
    </row>
    <row r="27" ht="26" customHeight="1">
      <c r="A27" s="46" t="inlineStr">
        <is>
          <t>💡 CARA PAKAI: Ubah angka di Kolom C (Proporsi %) hingga Total = 100% dan semua STATUS = ✅ OK.  Isi Total Batch (kg) di AC2 → Kolom Z = kebutuhan kg per batch.  Edit Harga/nilai nutrisi di sheet 'Referensi Bahan Baku'.</t>
        </is>
      </c>
    </row>
    <row r="28">
      <c r="A28" s="32" t="inlineStr">
        <is>
          <t>⚡ ORANGE = kamu isi  |  HIJAU = otomatis terhitung  |  ✅ = memenuhi standar  |  ⚠️ = perlu penyesuaian  |  Propionic Acid &amp; Choline Chloride tidak berkontribusi nutrisi makro</t>
        </is>
      </c>
    </row>
  </sheetData>
  <mergeCells count="6">
    <mergeCell ref="A28:Z28"/>
    <mergeCell ref="A2:Y2"/>
    <mergeCell ref="A1:Z1"/>
    <mergeCell ref="A27:Z27"/>
    <mergeCell ref="A20:Z20"/>
    <mergeCell ref="A18:B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2" customWidth="1" min="4" max="4"/>
    <col width="20" customWidth="1" min="5" max="5"/>
    <col width="14" customWidth="1" min="6" max="6"/>
    <col width="14" customWidth="1" min="7" max="7"/>
    <col width="10" customWidth="1" min="8" max="8"/>
  </cols>
  <sheetData>
    <row r="1" ht="24" customHeight="1">
      <c r="A1" s="1" t="inlineStr">
        <is>
          <t>RINGKASAN FORMULA PAKAN AYAM BURAS — PPBIB</t>
        </is>
      </c>
    </row>
    <row r="2">
      <c r="A2" s="2" t="inlineStr">
        <is>
          <t>Formula Grower | Total Batch: 100 kg | Instruktur: Aditiya Nugraha — PPBIB</t>
        </is>
      </c>
    </row>
    <row r="4" ht="20" customHeight="1">
      <c r="A4" s="47" t="inlineStr">
        <is>
          <t>A.  KOMPOSISI BAHAN BAKU</t>
        </is>
      </c>
    </row>
    <row r="5" ht="30" customHeight="1">
      <c r="A5" s="3" t="inlineStr">
        <is>
          <t>No</t>
        </is>
      </c>
      <c r="B5" s="3" t="inlineStr">
        <is>
          <t>Nama Bahan</t>
        </is>
      </c>
      <c r="C5" s="3" t="inlineStr">
        <is>
          <t>Kategori</t>
        </is>
      </c>
      <c r="D5" s="3" t="inlineStr">
        <is>
          <t>Proporsi (%)</t>
        </is>
      </c>
      <c r="E5" s="3" t="inlineStr">
        <is>
          <t>Jumlah (kg/100 kg batch)</t>
        </is>
      </c>
      <c r="F5" s="3" t="inlineStr">
        <is>
          <t>Harga/kg (Rp)</t>
        </is>
      </c>
      <c r="G5" s="3" t="inlineStr">
        <is>
          <t>Biaya (Rp)</t>
        </is>
      </c>
      <c r="H5" s="3" t="inlineStr">
        <is>
          <t>% Biaya</t>
        </is>
      </c>
    </row>
    <row r="6">
      <c r="A6" s="4" t="n">
        <v>1</v>
      </c>
      <c r="B6" s="5" t="inlineStr">
        <is>
          <t>Jagung</t>
        </is>
      </c>
      <c r="C6" s="5" t="inlineStr">
        <is>
          <t>Energi</t>
        </is>
      </c>
      <c r="D6" s="21" t="n">
        <v>57.4</v>
      </c>
      <c r="E6" s="23" t="n">
        <v>57.4</v>
      </c>
      <c r="F6" s="6" t="n">
        <v>6000</v>
      </c>
      <c r="G6" s="24" t="n">
        <v>3444</v>
      </c>
      <c r="H6" s="48" t="n">
        <v>54</v>
      </c>
    </row>
    <row r="7">
      <c r="A7" s="10" t="n">
        <v>2</v>
      </c>
      <c r="B7" s="11" t="inlineStr">
        <is>
          <t>Gaplek</t>
        </is>
      </c>
      <c r="C7" s="11" t="inlineStr">
        <is>
          <t>Energi</t>
        </is>
      </c>
      <c r="D7" s="21" t="n">
        <v>4</v>
      </c>
      <c r="E7" s="23" t="n">
        <v>4</v>
      </c>
      <c r="F7" s="6" t="n">
        <v>3500</v>
      </c>
      <c r="G7" s="24" t="n">
        <v>140</v>
      </c>
      <c r="H7" s="48" t="n">
        <v>2.2</v>
      </c>
    </row>
    <row r="8">
      <c r="A8" s="4" t="n">
        <v>3</v>
      </c>
      <c r="B8" s="5" t="inlineStr">
        <is>
          <t>Polar (Wheat Pollard)</t>
        </is>
      </c>
      <c r="C8" s="5" t="inlineStr">
        <is>
          <t>Protein/Energi</t>
        </is>
      </c>
      <c r="D8" s="21" t="n">
        <v>10</v>
      </c>
      <c r="E8" s="23" t="n">
        <v>10</v>
      </c>
      <c r="F8" s="6" t="n">
        <v>4050</v>
      </c>
      <c r="G8" s="24" t="n">
        <v>405</v>
      </c>
      <c r="H8" s="48" t="n">
        <v>6.3</v>
      </c>
    </row>
    <row r="9">
      <c r="A9" s="10" t="n">
        <v>4</v>
      </c>
      <c r="B9" s="11" t="inlineStr">
        <is>
          <t>CGF (Corn Gluten Feed)</t>
        </is>
      </c>
      <c r="C9" s="11" t="inlineStr">
        <is>
          <t>Protein Nabati</t>
        </is>
      </c>
      <c r="D9" s="21" t="n">
        <v>8</v>
      </c>
      <c r="E9" s="23" t="n">
        <v>8</v>
      </c>
      <c r="F9" s="6" t="n">
        <v>5000</v>
      </c>
      <c r="G9" s="24" t="n">
        <v>400</v>
      </c>
      <c r="H9" s="48" t="n">
        <v>6.3</v>
      </c>
    </row>
    <row r="10">
      <c r="A10" s="4" t="n">
        <v>5</v>
      </c>
      <c r="B10" s="5" t="inlineStr">
        <is>
          <t>SBM (Bungkil Kedelai)</t>
        </is>
      </c>
      <c r="C10" s="5" t="inlineStr">
        <is>
          <t>Protein Nabati</t>
        </is>
      </c>
      <c r="D10" s="21" t="n">
        <v>12</v>
      </c>
      <c r="E10" s="23" t="n">
        <v>12</v>
      </c>
      <c r="F10" s="6" t="n">
        <v>8500</v>
      </c>
      <c r="G10" s="24" t="n">
        <v>1020</v>
      </c>
      <c r="H10" s="48" t="n">
        <v>16</v>
      </c>
    </row>
    <row r="11">
      <c r="A11" s="10" t="n">
        <v>6</v>
      </c>
      <c r="B11" s="11" t="inlineStr">
        <is>
          <t>CGM (Corn Gluten Meal)</t>
        </is>
      </c>
      <c r="C11" s="11" t="inlineStr">
        <is>
          <t>Protein Nabati</t>
        </is>
      </c>
      <c r="D11" s="21" t="n">
        <v>2</v>
      </c>
      <c r="E11" s="23" t="n">
        <v>2</v>
      </c>
      <c r="F11" s="6" t="n">
        <v>10000</v>
      </c>
      <c r="G11" s="24" t="n">
        <v>200</v>
      </c>
      <c r="H11" s="48" t="n">
        <v>3.1</v>
      </c>
    </row>
    <row r="12">
      <c r="A12" s="4" t="n">
        <v>7</v>
      </c>
      <c r="B12" s="5" t="inlineStr">
        <is>
          <t>MBM (Meat Bone Meal)</t>
        </is>
      </c>
      <c r="C12" s="5" t="inlineStr">
        <is>
          <t>Protein Hewani</t>
        </is>
      </c>
      <c r="D12" s="21" t="n">
        <v>5</v>
      </c>
      <c r="E12" s="23" t="n">
        <v>5</v>
      </c>
      <c r="F12" s="6" t="n">
        <v>10000</v>
      </c>
      <c r="G12" s="24" t="n">
        <v>500</v>
      </c>
      <c r="H12" s="48" t="n">
        <v>7.8</v>
      </c>
    </row>
    <row r="13">
      <c r="A13" s="10" t="n">
        <v>8</v>
      </c>
      <c r="B13" s="11" t="inlineStr">
        <is>
          <t>Mineral (Ca-P supp.)</t>
        </is>
      </c>
      <c r="C13" s="11" t="inlineStr">
        <is>
          <t>Mineral</t>
        </is>
      </c>
      <c r="D13" s="21" t="n">
        <v>1</v>
      </c>
      <c r="E13" s="23" t="n">
        <v>1</v>
      </c>
      <c r="F13" s="6" t="n">
        <v>8000</v>
      </c>
      <c r="G13" s="24" t="n">
        <v>80</v>
      </c>
      <c r="H13" s="48" t="n">
        <v>1.3</v>
      </c>
    </row>
    <row r="14">
      <c r="A14" s="4" t="n">
        <v>9</v>
      </c>
      <c r="B14" s="5" t="inlineStr">
        <is>
          <t>Top Mix (Premix)</t>
        </is>
      </c>
      <c r="C14" s="5" t="inlineStr">
        <is>
          <t>Vitamin-Mineral</t>
        </is>
      </c>
      <c r="D14" s="21" t="n">
        <v>0.3</v>
      </c>
      <c r="E14" s="23" t="n">
        <v>0.3</v>
      </c>
      <c r="F14" s="6" t="n">
        <v>25000</v>
      </c>
      <c r="G14" s="24" t="n">
        <v>75</v>
      </c>
      <c r="H14" s="48" t="n">
        <v>1.2</v>
      </c>
    </row>
    <row r="15">
      <c r="A15" s="10" t="n">
        <v>10</v>
      </c>
      <c r="B15" s="11" t="inlineStr">
        <is>
          <t>L-Lisin HCl</t>
        </is>
      </c>
      <c r="C15" s="11" t="inlineStr">
        <is>
          <t>Asam Amino</t>
        </is>
      </c>
      <c r="D15" s="21" t="n">
        <v>0.1</v>
      </c>
      <c r="E15" s="23" t="n">
        <v>0.1</v>
      </c>
      <c r="F15" s="6" t="n">
        <v>50000</v>
      </c>
      <c r="G15" s="24" t="n">
        <v>50</v>
      </c>
      <c r="H15" s="48" t="n">
        <v>0.8</v>
      </c>
    </row>
    <row r="16">
      <c r="A16" s="4" t="n">
        <v>11</v>
      </c>
      <c r="B16" s="5" t="inlineStr">
        <is>
          <t>Propionic Acid</t>
        </is>
      </c>
      <c r="C16" s="5" t="inlineStr">
        <is>
          <t>Aditif (pengawet)</t>
        </is>
      </c>
      <c r="D16" s="21" t="n">
        <v>0.1</v>
      </c>
      <c r="E16" s="23" t="n">
        <v>0.1</v>
      </c>
      <c r="F16" s="6" t="n">
        <v>15000</v>
      </c>
      <c r="G16" s="24" t="n">
        <v>15</v>
      </c>
      <c r="H16" s="48" t="n">
        <v>0.2</v>
      </c>
    </row>
    <row r="17">
      <c r="A17" s="10" t="n">
        <v>12</v>
      </c>
      <c r="B17" s="11" t="inlineStr">
        <is>
          <t>Choline Chloride 60%</t>
        </is>
      </c>
      <c r="C17" s="11" t="inlineStr">
        <is>
          <t>Aditif</t>
        </is>
      </c>
      <c r="D17" s="21" t="n">
        <v>0.1</v>
      </c>
      <c r="E17" s="23" t="n">
        <v>0.1</v>
      </c>
      <c r="F17" s="6" t="n">
        <v>50000</v>
      </c>
      <c r="G17" s="24" t="n">
        <v>50</v>
      </c>
      <c r="H17" s="48" t="n">
        <v>0.8</v>
      </c>
    </row>
    <row r="18">
      <c r="A18" s="25" t="inlineStr">
        <is>
          <t>TOTAL</t>
        </is>
      </c>
      <c r="D18" s="26">
        <f>SUM(D6:D17)</f>
        <v/>
      </c>
      <c r="E18" s="27">
        <f>SUM(E6:E17)</f>
        <v/>
      </c>
      <c r="G18" s="28">
        <f>SUM(G6:G17)</f>
        <v/>
      </c>
      <c r="H18" s="49" t="inlineStr">
        <is>
          <t>100.0</t>
        </is>
      </c>
    </row>
    <row r="21" ht="20" customHeight="1">
      <c r="A21" s="47" t="inlineStr">
        <is>
          <t>B.  NILAI NUTRISI TERHITUNG</t>
        </is>
      </c>
    </row>
    <row r="22" ht="28" customHeight="1">
      <c r="A22" s="3" t="inlineStr">
        <is>
          <t>Parameter</t>
        </is>
      </c>
      <c r="B22" s="3" t="inlineStr">
        <is>
          <t>Nilai Aktual</t>
        </is>
      </c>
      <c r="C22" s="3" t="inlineStr">
        <is>
          <t>Satuan</t>
        </is>
      </c>
      <c r="D22" s="3" t="inlineStr">
        <is>
          <t>Standar Min/Max (Buras Grower)</t>
        </is>
      </c>
      <c r="E22" s="3" t="inlineStr">
        <is>
          <t>Status</t>
        </is>
      </c>
    </row>
    <row r="23" ht="18" customHeight="1">
      <c r="A23" s="5" t="inlineStr">
        <is>
          <t>Kadar Air (%)</t>
        </is>
      </c>
      <c r="B23" s="34" t="n">
        <v>11.97</v>
      </c>
      <c r="C23" s="4" t="inlineStr">
        <is>
          <t>%</t>
        </is>
      </c>
      <c r="D23" s="4" t="inlineStr">
        <is>
          <t>maks 14 %</t>
        </is>
      </c>
      <c r="E23" s="31" t="inlineStr">
        <is>
          <t>✅ OK</t>
        </is>
      </c>
    </row>
    <row r="24" ht="18" customHeight="1">
      <c r="A24" s="11" t="inlineStr">
        <is>
          <t>Protein Kasar (%)</t>
        </is>
      </c>
      <c r="B24" s="34" t="n">
        <v>17.4911</v>
      </c>
      <c r="C24" s="10" t="inlineStr">
        <is>
          <t>%</t>
        </is>
      </c>
      <c r="D24" s="10" t="inlineStr">
        <is>
          <t>16–18 %</t>
        </is>
      </c>
      <c r="E24" s="31" t="inlineStr">
        <is>
          <t>✅ OK</t>
        </is>
      </c>
    </row>
    <row r="25" ht="18" customHeight="1">
      <c r="A25" s="5" t="inlineStr">
        <is>
          <t>Lemak Kasar (%)</t>
        </is>
      </c>
      <c r="B25" s="34" t="n">
        <v>3.4376</v>
      </c>
      <c r="C25" s="4" t="inlineStr">
        <is>
          <t>%</t>
        </is>
      </c>
      <c r="D25" s="4" t="inlineStr">
        <is>
          <t>3–6 %</t>
        </is>
      </c>
      <c r="E25" s="31" t="inlineStr">
        <is>
          <t>✅ OK</t>
        </is>
      </c>
    </row>
    <row r="26" ht="18" customHeight="1">
      <c r="A26" s="11" t="inlineStr">
        <is>
          <t>Serat Kasar (%)</t>
        </is>
      </c>
      <c r="B26" s="34" t="n">
        <v>3.6477</v>
      </c>
      <c r="C26" s="10" t="inlineStr">
        <is>
          <t>%</t>
        </is>
      </c>
      <c r="D26" s="10" t="inlineStr">
        <is>
          <t>maks 8 %</t>
        </is>
      </c>
      <c r="E26" s="31" t="inlineStr">
        <is>
          <t>✅ OK</t>
        </is>
      </c>
    </row>
    <row r="27" ht="18" customHeight="1">
      <c r="A27" s="5" t="inlineStr">
        <is>
          <t>Abu (%)</t>
        </is>
      </c>
      <c r="B27" s="34" t="n">
        <v>4.3811</v>
      </c>
      <c r="C27" s="4" t="inlineStr">
        <is>
          <t>%</t>
        </is>
      </c>
      <c r="D27" s="4" t="inlineStr">
        <is>
          <t>maks 8 %</t>
        </is>
      </c>
      <c r="E27" s="31" t="inlineStr">
        <is>
          <t>✅ OK</t>
        </is>
      </c>
    </row>
    <row r="28" ht="18" customHeight="1">
      <c r="A28" s="11" t="inlineStr">
        <is>
          <t>Kalsium / Ca (%)</t>
        </is>
      </c>
      <c r="B28" s="35" t="n">
        <v>0.7798</v>
      </c>
      <c r="C28" s="10" t="inlineStr">
        <is>
          <t>%</t>
        </is>
      </c>
      <c r="D28" s="10" t="inlineStr">
        <is>
          <t>0.70–1.00 %</t>
        </is>
      </c>
      <c r="E28" s="31" t="inlineStr">
        <is>
          <t>✅ OK</t>
        </is>
      </c>
    </row>
    <row r="29" ht="18" customHeight="1">
      <c r="A29" s="5" t="inlineStr">
        <is>
          <t>Fosfor tersedia (%)</t>
        </is>
      </c>
      <c r="B29" s="35" t="n">
        <v>0.5395</v>
      </c>
      <c r="C29" s="4" t="inlineStr">
        <is>
          <t>%</t>
        </is>
      </c>
      <c r="D29" s="4" t="inlineStr">
        <is>
          <t>0.35–0.50 %</t>
        </is>
      </c>
      <c r="E29" s="31" t="inlineStr">
        <is>
          <t>✅ OK</t>
        </is>
      </c>
    </row>
    <row r="30" ht="18" customHeight="1">
      <c r="A30" s="11" t="inlineStr">
        <is>
          <t>ME (kcal/kg)</t>
        </is>
      </c>
      <c r="B30" s="36" t="n">
        <v>2793.94</v>
      </c>
      <c r="C30" s="10" t="inlineStr">
        <is>
          <t>kcal/kg</t>
        </is>
      </c>
      <c r="D30" s="10" t="inlineStr">
        <is>
          <t>2700–2900</t>
        </is>
      </c>
      <c r="E30" s="31" t="inlineStr">
        <is>
          <t>✅ OK</t>
        </is>
      </c>
    </row>
    <row r="31" ht="18" customHeight="1">
      <c r="A31" s="5" t="inlineStr">
        <is>
          <t>Lisin (%)</t>
        </is>
      </c>
      <c r="B31" s="35" t="n">
        <v>0.8409</v>
      </c>
      <c r="C31" s="4" t="inlineStr">
        <is>
          <t>%</t>
        </is>
      </c>
      <c r="D31" s="4" t="inlineStr">
        <is>
          <t>0.70–0.90 %</t>
        </is>
      </c>
      <c r="E31" s="31" t="inlineStr">
        <is>
          <t>✅ OK</t>
        </is>
      </c>
    </row>
    <row r="32" ht="18" customHeight="1">
      <c r="A32" s="11" t="inlineStr">
        <is>
          <t>Metionin (%)</t>
        </is>
      </c>
      <c r="B32" s="35" t="n">
        <v>0.3048</v>
      </c>
      <c r="C32" s="10" t="inlineStr">
        <is>
          <t>%</t>
        </is>
      </c>
      <c r="D32" s="10" t="inlineStr">
        <is>
          <t>0.30–0.40 %</t>
        </is>
      </c>
      <c r="E32" s="31" t="inlineStr">
        <is>
          <t>✅ OK</t>
        </is>
      </c>
    </row>
    <row r="35">
      <c r="A35" s="47" t="inlineStr">
        <is>
          <t>C.  ESTIMASI HARGA POKOK</t>
        </is>
      </c>
    </row>
    <row r="36">
      <c r="A36" s="50" t="inlineStr">
        <is>
          <t>Harga Pokok / kg pakan</t>
        </is>
      </c>
      <c r="B36" s="51" t="n">
        <v>6379</v>
      </c>
    </row>
  </sheetData>
  <mergeCells count="6">
    <mergeCell ref="A4:H4"/>
    <mergeCell ref="A21:H21"/>
    <mergeCell ref="A35:H35"/>
    <mergeCell ref="A2:H2"/>
    <mergeCell ref="A18:C1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2026-06-06T02:57:15Z</dcterms:created>
  <dcterms:modified xsi:type="dcterms:W3CDTF">2026-06-06T02:57:15Z</dcterms:modified>
</cp:coreProperties>
</file>