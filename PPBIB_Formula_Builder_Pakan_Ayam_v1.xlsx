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si Bahan Baku" sheetId="1" state="visible" r:id="rId1"/>
    <sheet name="Formula Builder" sheetId="2" state="visible" r:id="rId2"/>
    <sheet name="Perbandingan Formu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sz val="8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F4B942"/>
      </patternFill>
    </fill>
    <fill>
      <patternFill patternType="solid">
        <fgColor rgb="00FCE4D6"/>
      </patternFill>
    </fill>
    <fill>
      <patternFill patternType="solid">
        <fgColor rgb="0092D050"/>
      </patternFill>
    </fill>
    <fill>
      <patternFill patternType="solid">
        <fgColor rgb="00FFFF99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3" fontId="4" fillId="6" borderId="2" applyAlignment="1" pivotButton="0" quotePrefix="0" xfId="0">
      <alignment horizontal="center" vertical="center" wrapText="1"/>
    </xf>
    <xf numFmtId="2" fontId="4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2" fontId="4" fillId="7" borderId="2" applyAlignment="1" pivotButton="0" quotePrefix="0" xfId="0">
      <alignment horizontal="center" vertical="center" wrapText="1"/>
    </xf>
    <xf numFmtId="164" fontId="4" fillId="7" borderId="2" applyAlignment="1" pivotButton="0" quotePrefix="0" xfId="0">
      <alignment horizontal="center" vertical="center" wrapText="1"/>
    </xf>
    <xf numFmtId="3" fontId="4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165" fontId="5" fillId="6" borderId="2" applyAlignment="1" pivotButton="0" quotePrefix="0" xfId="0">
      <alignment horizontal="center" vertical="center" wrapText="1"/>
    </xf>
    <xf numFmtId="2" fontId="4" fillId="8" borderId="2" applyAlignment="1" pivotButton="0" quotePrefix="0" xfId="0">
      <alignment horizontal="center" vertical="center" wrapText="1"/>
    </xf>
    <xf numFmtId="164" fontId="4" fillId="8" borderId="2" applyAlignment="1" pivotButton="0" quotePrefix="0" xfId="0">
      <alignment horizontal="center" vertical="center" wrapText="1"/>
    </xf>
    <xf numFmtId="3" fontId="4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2" fontId="5" fillId="10" borderId="2" applyAlignment="1" pivotButton="0" quotePrefix="0" xfId="0">
      <alignment horizontal="center" vertical="center" wrapText="1"/>
    </xf>
    <xf numFmtId="164" fontId="5" fillId="10" borderId="2" applyAlignment="1" pivotButton="0" quotePrefix="0" xfId="0">
      <alignment horizontal="center" vertical="center" wrapText="1"/>
    </xf>
    <xf numFmtId="3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 wrapText="1"/>
    </xf>
    <xf numFmtId="165" fontId="5" fillId="8" borderId="2" applyAlignment="1" pivotButton="0" quotePrefix="0" xfId="0">
      <alignment horizontal="center" vertical="center" wrapText="1"/>
    </xf>
    <xf numFmtId="2" fontId="5" fillId="8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3" fontId="5" fillId="8" borderId="2" applyAlignment="1" pivotButton="0" quotePrefix="0" xfId="0">
      <alignment horizontal="center" vertical="center" wrapText="1"/>
    </xf>
    <xf numFmtId="2" fontId="5" fillId="6" borderId="2" applyAlignment="1" pivotButton="0" quotePrefix="0" xfId="0">
      <alignment horizontal="center" vertical="center" wrapText="1"/>
    </xf>
    <xf numFmtId="164" fontId="5" fillId="6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left" vertical="center" wrapText="1"/>
    </xf>
    <xf numFmtId="165" fontId="5" fillId="12" borderId="2" applyAlignment="1" pivotButton="0" quotePrefix="0" xfId="0">
      <alignment horizontal="center" vertical="center" wrapText="1"/>
    </xf>
    <xf numFmtId="2" fontId="5" fillId="12" borderId="2" applyAlignment="1" pivotButton="0" quotePrefix="0" xfId="0">
      <alignment horizontal="center" vertical="center" wrapText="1"/>
    </xf>
    <xf numFmtId="164" fontId="5" fillId="12" borderId="2" applyAlignment="1" pivotButton="0" quotePrefix="0" xfId="0">
      <alignment horizontal="center" vertical="center" wrapText="1"/>
    </xf>
    <xf numFmtId="3" fontId="5" fillId="12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2" fillId="14" borderId="2" applyAlignment="1" pivotButton="0" quotePrefix="0" xfId="0">
      <alignment horizontal="left" vertical="center" wrapText="1"/>
    </xf>
    <xf numFmtId="165" fontId="4" fillId="8" borderId="2" applyAlignment="1" pivotButton="0" quotePrefix="0" xfId="0">
      <alignment horizontal="center" vertical="center" wrapText="1"/>
    </xf>
    <xf numFmtId="165" fontId="4" fillId="6" borderId="2" applyAlignment="1" pivotButton="0" quotePrefix="0" xfId="0">
      <alignment horizontal="center" vertical="center" wrapText="1"/>
    </xf>
    <xf numFmtId="3" fontId="5" fillId="10" borderId="2" applyAlignment="1" pivotButton="0" quotePrefix="0" xfId="0">
      <alignment horizontal="right" vertical="center" wrapText="1"/>
    </xf>
    <xf numFmtId="165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6" customWidth="1" min="15" max="15"/>
    <col width="22" customWidth="1" min="16" max="16"/>
  </cols>
  <sheetData>
    <row r="1" ht="24" customHeight="1">
      <c r="A1" s="1" t="inlineStr">
        <is>
          <t>REFERENSI NILAI NUTRISI BAHAN BAKU PAKAN AYAM — PPBIB</t>
        </is>
      </c>
    </row>
    <row r="2" ht="30" customHeight="1">
      <c r="A2" s="2" t="inlineStr">
        <is>
          <t>Sumber data: referensi nutrisi unggas (NRC/EVONIK/BSLA). Sesuaikan harga sesuai kondisi pasar lokal. ME = Energi Metabolis untuk Unggas (Broiler).</t>
        </is>
      </c>
    </row>
    <row r="3" ht="36" customHeight="1">
      <c r="A3" s="3" t="inlineStr">
        <is>
          <t>No</t>
        </is>
      </c>
      <c r="B3" s="3" t="inlineStr">
        <is>
          <t>Nama Bahan</t>
        </is>
      </c>
      <c r="C3" s="3" t="inlineStr">
        <is>
          <t>Harga/kg
(Rp)</t>
        </is>
      </c>
      <c r="D3" s="3" t="inlineStr">
        <is>
          <t>Kadar Air
(%)</t>
        </is>
      </c>
      <c r="E3" s="3" t="inlineStr">
        <is>
          <t>Protein Kasar
(%)</t>
        </is>
      </c>
      <c r="F3" s="3" t="inlineStr">
        <is>
          <t>Lemak Kasar
(%)</t>
        </is>
      </c>
      <c r="G3" s="3" t="inlineStr">
        <is>
          <t>Serat Kasar
(%)</t>
        </is>
      </c>
      <c r="H3" s="3" t="inlineStr">
        <is>
          <t>Abu
(%)</t>
        </is>
      </c>
      <c r="I3" s="3" t="inlineStr">
        <is>
          <t>Kalsium/Ca
(%)</t>
        </is>
      </c>
      <c r="J3" s="3" t="inlineStr">
        <is>
          <t>Fosfor tersedia
(%)</t>
        </is>
      </c>
      <c r="K3" s="3" t="inlineStr">
        <is>
          <t>ME
(kcal/kg)</t>
        </is>
      </c>
      <c r="L3" s="3" t="inlineStr">
        <is>
          <t>Lisin
(%)</t>
        </is>
      </c>
      <c r="M3" s="3" t="inlineStr">
        <is>
          <t>Metionin
(%)</t>
        </is>
      </c>
      <c r="N3" s="3" t="inlineStr">
        <is>
          <t>Harga Protein
(Rp/% prot)</t>
        </is>
      </c>
      <c r="O3" s="3" t="inlineStr">
        <is>
          <t>Kategori</t>
        </is>
      </c>
      <c r="P3" s="3" t="inlineStr">
        <is>
          <t>Catatan</t>
        </is>
      </c>
    </row>
    <row r="4">
      <c r="A4" s="4" t="n">
        <v>1</v>
      </c>
      <c r="B4" s="5" t="inlineStr">
        <is>
          <t>Jagung</t>
        </is>
      </c>
      <c r="C4" s="6" t="n">
        <v>6000</v>
      </c>
      <c r="D4" s="7" t="n">
        <v>13</v>
      </c>
      <c r="E4" s="7" t="n">
        <v>8</v>
      </c>
      <c r="F4" s="7" t="n">
        <v>3.8</v>
      </c>
      <c r="G4" s="7" t="n">
        <v>2.2</v>
      </c>
      <c r="H4" s="7" t="n">
        <v>1.76</v>
      </c>
      <c r="I4" s="8" t="n">
        <v>0.03</v>
      </c>
      <c r="J4" s="8" t="n">
        <v>0.08</v>
      </c>
      <c r="K4" s="9" t="n">
        <v>3300</v>
      </c>
      <c r="L4" s="8" t="n">
        <v>0.25</v>
      </c>
      <c r="M4" s="8" t="n">
        <v>0.18</v>
      </c>
      <c r="N4" s="9">
        <f>C4/E4</f>
        <v/>
      </c>
      <c r="O4" s="5" t="inlineStr">
        <is>
          <t>Energi / Karbo</t>
        </is>
      </c>
      <c r="P4" s="10" t="n"/>
    </row>
    <row r="5">
      <c r="A5" s="11" t="n">
        <v>2</v>
      </c>
      <c r="B5" s="12" t="inlineStr">
        <is>
          <t>Dedak halus</t>
        </is>
      </c>
      <c r="C5" s="6" t="n">
        <v>4500</v>
      </c>
      <c r="D5" s="13" t="n">
        <v>10</v>
      </c>
      <c r="E5" s="13" t="n">
        <v>9.880000000000001</v>
      </c>
      <c r="F5" s="13" t="n">
        <v>3.17</v>
      </c>
      <c r="G5" s="13" t="n">
        <v>8</v>
      </c>
      <c r="H5" s="13" t="n">
        <v>14.22</v>
      </c>
      <c r="I5" s="14" t="n">
        <v>0.07000000000000001</v>
      </c>
      <c r="J5" s="14" t="n">
        <v>0.18</v>
      </c>
      <c r="K5" s="15" t="n">
        <v>2011</v>
      </c>
      <c r="L5" s="14" t="n">
        <v>0.52</v>
      </c>
      <c r="M5" s="14" t="n">
        <v>0.22</v>
      </c>
      <c r="N5" s="15">
        <f>C5/E5</f>
        <v/>
      </c>
      <c r="O5" s="12" t="inlineStr">
        <is>
          <t>Energi / Karbo</t>
        </is>
      </c>
      <c r="P5" s="16" t="n"/>
    </row>
    <row r="6">
      <c r="A6" s="4" t="n">
        <v>3</v>
      </c>
      <c r="B6" s="5" t="inlineStr">
        <is>
          <t>Pollard</t>
        </is>
      </c>
      <c r="C6" s="6" t="n">
        <v>4050</v>
      </c>
      <c r="D6" s="7" t="n">
        <v>13</v>
      </c>
      <c r="E6" s="7" t="n">
        <v>12.68</v>
      </c>
      <c r="F6" s="7" t="n">
        <v>4</v>
      </c>
      <c r="G6" s="7" t="n">
        <v>15</v>
      </c>
      <c r="H6" s="7" t="n">
        <v>4</v>
      </c>
      <c r="I6" s="8" t="n">
        <v>0.12</v>
      </c>
      <c r="J6" s="8" t="n">
        <v>0.28</v>
      </c>
      <c r="K6" s="9" t="n">
        <v>1430</v>
      </c>
      <c r="L6" s="8" t="n">
        <v>0.52</v>
      </c>
      <c r="M6" s="8" t="n">
        <v>0.22</v>
      </c>
      <c r="N6" s="9">
        <f>C6/E6</f>
        <v/>
      </c>
      <c r="O6" s="5" t="inlineStr">
        <is>
          <t>Energi / Karbo</t>
        </is>
      </c>
      <c r="P6" s="10" t="n"/>
    </row>
    <row r="7">
      <c r="A7" s="11" t="n">
        <v>4</v>
      </c>
      <c r="B7" s="12" t="inlineStr">
        <is>
          <t>Tapioka</t>
        </is>
      </c>
      <c r="C7" s="6" t="n">
        <v>11000</v>
      </c>
      <c r="D7" s="13" t="n">
        <v>13</v>
      </c>
      <c r="E7" s="13" t="n">
        <v>2.5</v>
      </c>
      <c r="F7" s="13" t="n">
        <v>0.7</v>
      </c>
      <c r="G7" s="13" t="n">
        <v>4.6</v>
      </c>
      <c r="H7" s="13" t="n">
        <v>2.5</v>
      </c>
      <c r="I7" s="14" t="n">
        <v>0.1</v>
      </c>
      <c r="J7" s="14" t="n">
        <v>0.05</v>
      </c>
      <c r="K7" s="15" t="n">
        <v>3020</v>
      </c>
      <c r="L7" s="14" t="n">
        <v>0.05</v>
      </c>
      <c r="M7" s="14" t="n">
        <v>0.02</v>
      </c>
      <c r="N7" s="15">
        <f>C7/E7</f>
        <v/>
      </c>
      <c r="O7" s="12" t="inlineStr">
        <is>
          <t>Binder</t>
        </is>
      </c>
      <c r="P7" s="16" t="n"/>
    </row>
    <row r="8">
      <c r="A8" s="4" t="n">
        <v>5</v>
      </c>
      <c r="B8" s="5" t="inlineStr">
        <is>
          <t>Bungkil kedelai</t>
        </is>
      </c>
      <c r="C8" s="6" t="n">
        <v>8500</v>
      </c>
      <c r="D8" s="7" t="n">
        <v>11</v>
      </c>
      <c r="E8" s="7" t="n">
        <v>45.53</v>
      </c>
      <c r="F8" s="7" t="n">
        <v>1.76</v>
      </c>
      <c r="G8" s="7" t="n">
        <v>5.89</v>
      </c>
      <c r="H8" s="7" t="n">
        <v>6.24</v>
      </c>
      <c r="I8" s="8" t="n">
        <v>0.3</v>
      </c>
      <c r="J8" s="8" t="n">
        <v>0.22</v>
      </c>
      <c r="K8" s="9" t="n">
        <v>2240</v>
      </c>
      <c r="L8" s="8" t="n">
        <v>2.92</v>
      </c>
      <c r="M8" s="8" t="n">
        <v>0.64</v>
      </c>
      <c r="N8" s="9">
        <f>C8/E8</f>
        <v/>
      </c>
      <c r="O8" s="5" t="inlineStr">
        <is>
          <t>Protein Nabati</t>
        </is>
      </c>
      <c r="P8" s="10" t="n"/>
    </row>
    <row r="9">
      <c r="A9" s="11" t="n">
        <v>6</v>
      </c>
      <c r="B9" s="12" t="inlineStr">
        <is>
          <t>Corn gluten meal</t>
        </is>
      </c>
      <c r="C9" s="6" t="n">
        <v>10000</v>
      </c>
      <c r="D9" s="13" t="n">
        <v>10</v>
      </c>
      <c r="E9" s="13" t="n">
        <v>64</v>
      </c>
      <c r="F9" s="13" t="n">
        <v>2.91</v>
      </c>
      <c r="G9" s="13" t="n">
        <v>0.8</v>
      </c>
      <c r="H9" s="13" t="n">
        <v>2.68</v>
      </c>
      <c r="I9" s="14" t="n">
        <v>0.03</v>
      </c>
      <c r="J9" s="14" t="n">
        <v>0.08</v>
      </c>
      <c r="K9" s="15" t="n">
        <v>3450</v>
      </c>
      <c r="L9" s="14" t="n">
        <v>1</v>
      </c>
      <c r="M9" s="14" t="n">
        <v>1.72</v>
      </c>
      <c r="N9" s="15">
        <f>C9/E9</f>
        <v/>
      </c>
      <c r="O9" s="12" t="inlineStr">
        <is>
          <t>Protein Nabati</t>
        </is>
      </c>
      <c r="P9" s="16" t="inlineStr">
        <is>
          <t>CGM</t>
        </is>
      </c>
    </row>
    <row r="10">
      <c r="A10" s="4" t="n">
        <v>7</v>
      </c>
      <c r="B10" s="5" t="inlineStr">
        <is>
          <t>Corn gluten feed</t>
        </is>
      </c>
      <c r="C10" s="6" t="n">
        <v>5000</v>
      </c>
      <c r="D10" s="7" t="n">
        <v>10</v>
      </c>
      <c r="E10" s="7" t="n">
        <v>24.39</v>
      </c>
      <c r="F10" s="7" t="n">
        <v>2.2</v>
      </c>
      <c r="G10" s="7" t="n">
        <v>7.27</v>
      </c>
      <c r="H10" s="7" t="n">
        <v>6.4</v>
      </c>
      <c r="I10" s="8" t="n">
        <v>0.15</v>
      </c>
      <c r="J10" s="8" t="n">
        <v>0.3</v>
      </c>
      <c r="K10" s="9" t="n">
        <v>1890</v>
      </c>
      <c r="L10" s="8" t="n">
        <v>0.65</v>
      </c>
      <c r="M10" s="8" t="n">
        <v>0.4</v>
      </c>
      <c r="N10" s="9">
        <f>C10/E10</f>
        <v/>
      </c>
      <c r="O10" s="5" t="inlineStr">
        <is>
          <t>Protein Nabati</t>
        </is>
      </c>
      <c r="P10" s="10" t="n"/>
    </row>
    <row r="11">
      <c r="A11" s="11" t="n">
        <v>8</v>
      </c>
      <c r="B11" s="12" t="inlineStr">
        <is>
          <t>DDGS</t>
        </is>
      </c>
      <c r="C11" s="6" t="n">
        <v>7900</v>
      </c>
      <c r="D11" s="13" t="n">
        <v>12</v>
      </c>
      <c r="E11" s="13" t="n">
        <v>30.23</v>
      </c>
      <c r="F11" s="13" t="n">
        <v>5.48</v>
      </c>
      <c r="G11" s="13" t="n">
        <v>8.460000000000001</v>
      </c>
      <c r="H11" s="13" t="n">
        <v>4.87</v>
      </c>
      <c r="I11" s="14" t="n">
        <v>0.18</v>
      </c>
      <c r="J11" s="14" t="n">
        <v>0.55</v>
      </c>
      <c r="K11" s="15" t="n">
        <v>2855</v>
      </c>
      <c r="L11" s="14" t="n">
        <v>0.75</v>
      </c>
      <c r="M11" s="14" t="n">
        <v>0.5600000000000001</v>
      </c>
      <c r="N11" s="15">
        <f>C11/E11</f>
        <v/>
      </c>
      <c r="O11" s="12" t="inlineStr">
        <is>
          <t>Protein Nabati</t>
        </is>
      </c>
      <c r="P11" s="16" t="n"/>
    </row>
    <row r="12">
      <c r="A12" s="4" t="n">
        <v>9</v>
      </c>
      <c r="B12" s="5" t="inlineStr">
        <is>
          <t>Bungkil sawit</t>
        </is>
      </c>
      <c r="C12" s="6" t="n">
        <v>3000</v>
      </c>
      <c r="D12" s="7" t="n">
        <v>9</v>
      </c>
      <c r="E12" s="7" t="n">
        <v>16.7</v>
      </c>
      <c r="F12" s="7" t="n">
        <v>9.199999999999999</v>
      </c>
      <c r="G12" s="7" t="n">
        <v>19.8</v>
      </c>
      <c r="H12" s="7" t="n">
        <v>4.7</v>
      </c>
      <c r="I12" s="8" t="n">
        <v>0.35</v>
      </c>
      <c r="J12" s="8" t="n">
        <v>0.18</v>
      </c>
      <c r="K12" s="9" t="n">
        <v>1650</v>
      </c>
      <c r="L12" s="8" t="n">
        <v>0.65</v>
      </c>
      <c r="M12" s="8" t="n">
        <v>0.35</v>
      </c>
      <c r="N12" s="9">
        <f>C12/E12</f>
        <v/>
      </c>
      <c r="O12" s="5" t="inlineStr">
        <is>
          <t>Protein Nabati</t>
        </is>
      </c>
      <c r="P12" s="10" t="n"/>
    </row>
    <row r="13">
      <c r="A13" s="11" t="n">
        <v>10</v>
      </c>
      <c r="B13" s="12" t="inlineStr">
        <is>
          <t>Bungkil kelapa</t>
        </is>
      </c>
      <c r="C13" s="6" t="n">
        <v>4500</v>
      </c>
      <c r="D13" s="13" t="n">
        <v>13</v>
      </c>
      <c r="E13" s="13" t="n">
        <v>18</v>
      </c>
      <c r="F13" s="13" t="n">
        <v>6</v>
      </c>
      <c r="G13" s="13" t="n">
        <v>17.33</v>
      </c>
      <c r="H13" s="13" t="n">
        <v>6.65</v>
      </c>
      <c r="I13" s="14" t="n">
        <v>0.2</v>
      </c>
      <c r="J13" s="14" t="n">
        <v>0.2</v>
      </c>
      <c r="K13" s="15" t="n">
        <v>1700</v>
      </c>
      <c r="L13" s="14" t="n">
        <v>0.5600000000000001</v>
      </c>
      <c r="M13" s="14" t="n">
        <v>0.32</v>
      </c>
      <c r="N13" s="15">
        <f>C13/E13</f>
        <v/>
      </c>
      <c r="O13" s="12" t="inlineStr">
        <is>
          <t>Protein Nabati</t>
        </is>
      </c>
      <c r="P13" s="16" t="n"/>
    </row>
    <row r="14">
      <c r="A14" s="4" t="n">
        <v>11</v>
      </c>
      <c r="B14" s="5" t="inlineStr">
        <is>
          <t>Tepung ikan impor</t>
        </is>
      </c>
      <c r="C14" s="6" t="n">
        <v>15000</v>
      </c>
      <c r="D14" s="7" t="n">
        <v>8</v>
      </c>
      <c r="E14" s="7" t="n">
        <v>55</v>
      </c>
      <c r="F14" s="7" t="n">
        <v>7.52</v>
      </c>
      <c r="G14" s="7" t="n">
        <v>0.7</v>
      </c>
      <c r="H14" s="7" t="n">
        <v>26</v>
      </c>
      <c r="I14" s="8" t="n">
        <v>4.5</v>
      </c>
      <c r="J14" s="8" t="n">
        <v>2.55</v>
      </c>
      <c r="K14" s="9" t="n">
        <v>3050</v>
      </c>
      <c r="L14" s="8" t="n">
        <v>4.2</v>
      </c>
      <c r="M14" s="8" t="n">
        <v>1.6</v>
      </c>
      <c r="N14" s="9">
        <f>C14/E14</f>
        <v/>
      </c>
      <c r="O14" s="5" t="inlineStr">
        <is>
          <t>Protein Hewani</t>
        </is>
      </c>
      <c r="P14" s="10" t="n"/>
    </row>
    <row r="15">
      <c r="A15" s="11" t="n">
        <v>12</v>
      </c>
      <c r="B15" s="12" t="inlineStr">
        <is>
          <t>Tepung ikan lokal</t>
        </is>
      </c>
      <c r="C15" s="6" t="n">
        <v>9000</v>
      </c>
      <c r="D15" s="13" t="n">
        <v>6</v>
      </c>
      <c r="E15" s="13" t="n">
        <v>44.2</v>
      </c>
      <c r="F15" s="13" t="n">
        <v>6.97</v>
      </c>
      <c r="G15" s="13" t="n">
        <v>2.7</v>
      </c>
      <c r="H15" s="13" t="n">
        <v>42.26</v>
      </c>
      <c r="I15" s="14" t="n">
        <v>5.5</v>
      </c>
      <c r="J15" s="14" t="n">
        <v>2.1</v>
      </c>
      <c r="K15" s="15" t="n">
        <v>2650</v>
      </c>
      <c r="L15" s="14" t="n">
        <v>3.2</v>
      </c>
      <c r="M15" s="14" t="n">
        <v>1.25</v>
      </c>
      <c r="N15" s="15">
        <f>C15/E15</f>
        <v/>
      </c>
      <c r="O15" s="12" t="inlineStr">
        <is>
          <t>Protein Hewani</t>
        </is>
      </c>
      <c r="P15" s="16" t="n"/>
    </row>
    <row r="16">
      <c r="A16" s="4" t="n">
        <v>13</v>
      </c>
      <c r="B16" s="5" t="inlineStr">
        <is>
          <t>Meat bone meal</t>
        </is>
      </c>
      <c r="C16" s="6" t="n">
        <v>10000</v>
      </c>
      <c r="D16" s="7" t="n">
        <v>6</v>
      </c>
      <c r="E16" s="7" t="n">
        <v>52.57</v>
      </c>
      <c r="F16" s="7" t="n">
        <v>8.82</v>
      </c>
      <c r="G16" s="7" t="n">
        <v>2.41</v>
      </c>
      <c r="H16" s="7" t="n">
        <v>29.53</v>
      </c>
      <c r="I16" s="8" t="n">
        <v>9.5</v>
      </c>
      <c r="J16" s="8" t="n">
        <v>4.5</v>
      </c>
      <c r="K16" s="9" t="n">
        <v>2375</v>
      </c>
      <c r="L16" s="8" t="n">
        <v>2.8</v>
      </c>
      <c r="M16" s="8" t="n">
        <v>0.65</v>
      </c>
      <c r="N16" s="9">
        <f>C16/E16</f>
        <v/>
      </c>
      <c r="O16" s="5" t="inlineStr">
        <is>
          <t>Protein Hewani</t>
        </is>
      </c>
      <c r="P16" s="10" t="inlineStr">
        <is>
          <t>MBM</t>
        </is>
      </c>
    </row>
    <row r="17">
      <c r="A17" s="11" t="n">
        <v>14</v>
      </c>
      <c r="B17" s="12" t="inlineStr">
        <is>
          <t>CPO / Minyak sawit</t>
        </is>
      </c>
      <c r="C17" s="6" t="n">
        <v>20000</v>
      </c>
      <c r="D17" s="13" t="n">
        <v>1</v>
      </c>
      <c r="E17" s="13" t="n">
        <v>0</v>
      </c>
      <c r="F17" s="13" t="n">
        <v>99</v>
      </c>
      <c r="G17" s="13" t="n">
        <v>0</v>
      </c>
      <c r="H17" s="13" t="n">
        <v>0.5</v>
      </c>
      <c r="I17" s="14" t="n">
        <v>0</v>
      </c>
      <c r="J17" s="14" t="n">
        <v>0</v>
      </c>
      <c r="K17" s="15" t="n">
        <v>7500</v>
      </c>
      <c r="L17" s="14" t="n">
        <v>0</v>
      </c>
      <c r="M17" s="14" t="n">
        <v>0</v>
      </c>
      <c r="N17" s="11" t="n"/>
      <c r="O17" s="12" t="inlineStr">
        <is>
          <t>Lemak / Minyak</t>
        </is>
      </c>
      <c r="P17" s="16" t="n"/>
    </row>
    <row r="18">
      <c r="A18" s="4" t="n">
        <v>15</v>
      </c>
      <c r="B18" s="5" t="inlineStr">
        <is>
          <t>Kapur (limestone)</t>
        </is>
      </c>
      <c r="C18" s="6" t="n">
        <v>1200</v>
      </c>
      <c r="D18" s="7" t="n">
        <v>1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38.5</v>
      </c>
      <c r="J18" s="8" t="n">
        <v>0</v>
      </c>
      <c r="K18" s="9" t="n"/>
      <c r="L18" s="8" t="n">
        <v>0</v>
      </c>
      <c r="M18" s="8" t="n">
        <v>0</v>
      </c>
      <c r="N18" s="4" t="n"/>
      <c r="O18" s="5" t="inlineStr">
        <is>
          <t>Mineral</t>
        </is>
      </c>
      <c r="P18" s="10" t="inlineStr">
        <is>
          <t>Sumber Ca</t>
        </is>
      </c>
    </row>
    <row r="19">
      <c r="A19" s="11" t="n">
        <v>16</v>
      </c>
      <c r="B19" s="12" t="inlineStr">
        <is>
          <t>DCP</t>
        </is>
      </c>
      <c r="C19" s="6" t="n">
        <v>8000</v>
      </c>
      <c r="D19" s="13" t="n">
        <v>2</v>
      </c>
      <c r="E19" s="13" t="n">
        <v>0</v>
      </c>
      <c r="F19" s="13" t="n">
        <v>0</v>
      </c>
      <c r="G19" s="13" t="n">
        <v>0</v>
      </c>
      <c r="H19" s="13" t="n">
        <v>0</v>
      </c>
      <c r="I19" s="14" t="n">
        <v>22</v>
      </c>
      <c r="J19" s="14" t="n">
        <v>18</v>
      </c>
      <c r="K19" s="15" t="n"/>
      <c r="L19" s="14" t="n">
        <v>0</v>
      </c>
      <c r="M19" s="14" t="n">
        <v>0</v>
      </c>
      <c r="N19" s="11" t="n"/>
      <c r="O19" s="12" t="inlineStr">
        <is>
          <t>Mineral</t>
        </is>
      </c>
      <c r="P19" s="16" t="inlineStr">
        <is>
          <t>Dicalcium Phosphate</t>
        </is>
      </c>
    </row>
    <row r="20">
      <c r="A20" s="4" t="n">
        <v>17</v>
      </c>
      <c r="B20" s="5" t="inlineStr">
        <is>
          <t>Garam (NaCl)</t>
        </is>
      </c>
      <c r="C20" s="6" t="n">
        <v>3000</v>
      </c>
      <c r="D20" s="7" t="n">
        <v>1</v>
      </c>
      <c r="E20" s="7" t="n">
        <v>0</v>
      </c>
      <c r="F20" s="7" t="n">
        <v>0</v>
      </c>
      <c r="G20" s="7" t="n">
        <v>0</v>
      </c>
      <c r="H20" s="7" t="n">
        <v>99</v>
      </c>
      <c r="I20" s="8" t="n">
        <v>0</v>
      </c>
      <c r="J20" s="8" t="n">
        <v>0</v>
      </c>
      <c r="K20" s="9" t="n"/>
      <c r="L20" s="8" t="n">
        <v>0</v>
      </c>
      <c r="M20" s="8" t="n">
        <v>0</v>
      </c>
      <c r="N20" s="4" t="n"/>
      <c r="O20" s="5" t="inlineStr">
        <is>
          <t>Mineral</t>
        </is>
      </c>
      <c r="P20" s="10" t="n"/>
    </row>
    <row r="21">
      <c r="A21" s="11" t="n">
        <v>18</v>
      </c>
      <c r="B21" s="12" t="inlineStr">
        <is>
          <t>Kolin Klorida 60%</t>
        </is>
      </c>
      <c r="C21" s="6" t="n">
        <v>50000</v>
      </c>
      <c r="D21" s="13" t="n">
        <v>2</v>
      </c>
      <c r="E21" s="13" t="n">
        <v>0</v>
      </c>
      <c r="F21" s="13" t="n">
        <v>0</v>
      </c>
      <c r="G21" s="13" t="n">
        <v>0</v>
      </c>
      <c r="H21" s="13" t="n">
        <v>0</v>
      </c>
      <c r="I21" s="14" t="n">
        <v>0</v>
      </c>
      <c r="J21" s="14" t="n">
        <v>0</v>
      </c>
      <c r="K21" s="15" t="n"/>
      <c r="L21" s="14" t="n">
        <v>0</v>
      </c>
      <c r="M21" s="14" t="n">
        <v>0</v>
      </c>
      <c r="N21" s="11" t="n"/>
      <c r="O21" s="12" t="inlineStr">
        <is>
          <t>Aditif</t>
        </is>
      </c>
      <c r="P21" s="16" t="inlineStr">
        <is>
          <t>CC-60</t>
        </is>
      </c>
    </row>
    <row r="22">
      <c r="A22" s="4" t="n">
        <v>19</v>
      </c>
      <c r="B22" s="5" t="inlineStr">
        <is>
          <t>Premix vit-mineral</t>
        </is>
      </c>
      <c r="C22" s="6" t="n">
        <v>25000</v>
      </c>
      <c r="D22" s="7" t="n">
        <v>1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</v>
      </c>
      <c r="J22" s="8" t="n">
        <v>0</v>
      </c>
      <c r="K22" s="9" t="n"/>
      <c r="L22" s="8" t="n">
        <v>0</v>
      </c>
      <c r="M22" s="8" t="n">
        <v>0</v>
      </c>
      <c r="N22" s="4" t="n"/>
      <c r="O22" s="5" t="inlineStr">
        <is>
          <t>Vitamin-Mineral</t>
        </is>
      </c>
      <c r="P22" s="10" t="n"/>
    </row>
    <row r="23">
      <c r="A23" s="11" t="n">
        <v>20</v>
      </c>
      <c r="B23" s="12" t="inlineStr">
        <is>
          <t>Konsentrat</t>
        </is>
      </c>
      <c r="C23" s="6" t="n">
        <v>2600</v>
      </c>
      <c r="D23" s="13" t="n">
        <v>9</v>
      </c>
      <c r="E23" s="13" t="n">
        <v>16.7</v>
      </c>
      <c r="F23" s="13" t="n">
        <v>9.199999999999999</v>
      </c>
      <c r="G23" s="13" t="n">
        <v>19.8</v>
      </c>
      <c r="H23" s="13" t="n">
        <v>4.7</v>
      </c>
      <c r="I23" s="14" t="n">
        <v>0.35</v>
      </c>
      <c r="J23" s="14" t="n">
        <v>0.18</v>
      </c>
      <c r="K23" s="15" t="n">
        <v>2650</v>
      </c>
      <c r="L23" s="14" t="n">
        <v>0.65</v>
      </c>
      <c r="M23" s="14" t="n">
        <v>0.35</v>
      </c>
      <c r="N23" s="15">
        <f>C23/E23</f>
        <v/>
      </c>
      <c r="O23" s="12" t="inlineStr">
        <is>
          <t>Protein Campuran</t>
        </is>
      </c>
      <c r="P23" s="16" t="n"/>
    </row>
    <row r="24">
      <c r="A24" s="4" t="n">
        <v>21</v>
      </c>
      <c r="B24" s="5" t="inlineStr">
        <is>
          <t>L-Lysin HCl</t>
        </is>
      </c>
      <c r="C24" s="6" t="n">
        <v>50000</v>
      </c>
      <c r="D24" s="7" t="n">
        <v>2</v>
      </c>
      <c r="E24" s="7" t="n">
        <v>95.8</v>
      </c>
      <c r="F24" s="7" t="n">
        <v>0</v>
      </c>
      <c r="G24" s="7" t="n">
        <v>0</v>
      </c>
      <c r="H24" s="7" t="n">
        <v>0</v>
      </c>
      <c r="I24" s="8" t="n">
        <v>0</v>
      </c>
      <c r="J24" s="8" t="n">
        <v>0</v>
      </c>
      <c r="K24" s="9" t="n">
        <v>3990</v>
      </c>
      <c r="L24" s="8" t="n">
        <v>78</v>
      </c>
      <c r="M24" s="8" t="n">
        <v>0</v>
      </c>
      <c r="N24" s="9">
        <f>C24/E24</f>
        <v/>
      </c>
      <c r="O24" s="5" t="inlineStr">
        <is>
          <t>Asam Amino</t>
        </is>
      </c>
      <c r="P24" s="10" t="n"/>
    </row>
    <row r="25">
      <c r="A25" s="11" t="n">
        <v>22</v>
      </c>
      <c r="B25" s="12" t="inlineStr">
        <is>
          <t>DL-Methionine</t>
        </is>
      </c>
      <c r="C25" s="6" t="n">
        <v>90000</v>
      </c>
      <c r="D25" s="13" t="n">
        <v>2</v>
      </c>
      <c r="E25" s="13" t="n">
        <v>58</v>
      </c>
      <c r="F25" s="13" t="n">
        <v>0</v>
      </c>
      <c r="G25" s="13" t="n">
        <v>0</v>
      </c>
      <c r="H25" s="13" t="n">
        <v>0</v>
      </c>
      <c r="I25" s="14" t="n">
        <v>0</v>
      </c>
      <c r="J25" s="14" t="n">
        <v>0</v>
      </c>
      <c r="K25" s="15" t="n">
        <v>5020</v>
      </c>
      <c r="L25" s="14" t="n">
        <v>0</v>
      </c>
      <c r="M25" s="14" t="n">
        <v>99</v>
      </c>
      <c r="N25" s="15">
        <f>C25/E25</f>
        <v/>
      </c>
      <c r="O25" s="12" t="inlineStr">
        <is>
          <t>Asam Amino</t>
        </is>
      </c>
      <c r="P25" s="16" t="n"/>
    </row>
    <row r="26">
      <c r="A26" s="4" t="n">
        <v>23</v>
      </c>
      <c r="B26" s="5" t="inlineStr">
        <is>
          <t>Threonine</t>
        </is>
      </c>
      <c r="C26" s="6" t="n">
        <v>90000</v>
      </c>
      <c r="D26" s="7" t="n">
        <v>2</v>
      </c>
      <c r="E26" s="7" t="n">
        <v>72.59999999999999</v>
      </c>
      <c r="F26" s="7" t="n">
        <v>0</v>
      </c>
      <c r="G26" s="7" t="n">
        <v>0</v>
      </c>
      <c r="H26" s="7" t="n">
        <v>0</v>
      </c>
      <c r="I26" s="8" t="n">
        <v>0</v>
      </c>
      <c r="J26" s="8" t="n">
        <v>0</v>
      </c>
      <c r="K26" s="9" t="n">
        <v>3764</v>
      </c>
      <c r="L26" s="8" t="n">
        <v>0</v>
      </c>
      <c r="M26" s="8" t="n">
        <v>0</v>
      </c>
      <c r="N26" s="9">
        <f>C26/E26</f>
        <v/>
      </c>
      <c r="O26" s="5" t="inlineStr">
        <is>
          <t>Asam Amino</t>
        </is>
      </c>
      <c r="P26" s="10" t="n"/>
    </row>
    <row r="27">
      <c r="A27" s="11" t="n">
        <v>24</v>
      </c>
      <c r="B27" s="12" t="inlineStr">
        <is>
          <t>Triptofan</t>
        </is>
      </c>
      <c r="C27" s="6" t="n">
        <v>150000</v>
      </c>
      <c r="D27" s="13" t="n">
        <v>2</v>
      </c>
      <c r="E27" s="13" t="n">
        <v>85</v>
      </c>
      <c r="F27" s="13" t="n">
        <v>0</v>
      </c>
      <c r="G27" s="13" t="n">
        <v>0</v>
      </c>
      <c r="H27" s="13" t="n">
        <v>0</v>
      </c>
      <c r="I27" s="14" t="n">
        <v>0</v>
      </c>
      <c r="J27" s="14" t="n">
        <v>0</v>
      </c>
      <c r="K27" s="15" t="n">
        <v>3900</v>
      </c>
      <c r="L27" s="14" t="n">
        <v>0</v>
      </c>
      <c r="M27" s="14" t="n">
        <v>0</v>
      </c>
      <c r="N27" s="15">
        <f>C27/E27</f>
        <v/>
      </c>
      <c r="O27" s="12" t="inlineStr">
        <is>
          <t>Asam Amino</t>
        </is>
      </c>
      <c r="P27" s="16" t="n"/>
    </row>
    <row r="28">
      <c r="A28" s="4" t="n">
        <v>25</v>
      </c>
      <c r="B28" s="5" t="inlineStr">
        <is>
          <t>Toxin binder</t>
        </is>
      </c>
      <c r="C28" s="6" t="n">
        <v>12000</v>
      </c>
      <c r="D28" s="7" t="n">
        <v>10</v>
      </c>
      <c r="E28" s="7" t="n">
        <v>0</v>
      </c>
      <c r="F28" s="7" t="n">
        <v>2</v>
      </c>
      <c r="G28" s="7" t="n">
        <v>0</v>
      </c>
      <c r="H28" s="7" t="n">
        <v>70</v>
      </c>
      <c r="I28" s="8" t="n">
        <v>0</v>
      </c>
      <c r="J28" s="8" t="n">
        <v>0</v>
      </c>
      <c r="K28" s="9" t="n"/>
      <c r="L28" s="8" t="n">
        <v>0</v>
      </c>
      <c r="M28" s="8" t="n">
        <v>0</v>
      </c>
      <c r="N28" s="4" t="n"/>
      <c r="O28" s="5" t="inlineStr">
        <is>
          <t>Aditif</t>
        </is>
      </c>
      <c r="P28" s="10" t="n"/>
    </row>
    <row r="29">
      <c r="A29" s="11" t="n">
        <v>26</v>
      </c>
      <c r="B29" s="12" t="inlineStr">
        <is>
          <t>Enzim Fitase</t>
        </is>
      </c>
      <c r="C29" s="6" t="n">
        <v>150000</v>
      </c>
      <c r="D29" s="13" t="n">
        <v>1</v>
      </c>
      <c r="E29" s="13" t="n">
        <v>7</v>
      </c>
      <c r="F29" s="13" t="n">
        <v>0</v>
      </c>
      <c r="G29" s="13" t="n">
        <v>1</v>
      </c>
      <c r="H29" s="13" t="n">
        <v>5</v>
      </c>
      <c r="I29" s="14" t="n">
        <v>0</v>
      </c>
      <c r="J29" s="14" t="n">
        <v>0</v>
      </c>
      <c r="K29" s="15" t="n"/>
      <c r="L29" s="14" t="n">
        <v>0</v>
      </c>
      <c r="M29" s="14" t="n">
        <v>0</v>
      </c>
      <c r="N29" s="15">
        <f>C29/E29</f>
        <v/>
      </c>
      <c r="O29" s="12" t="inlineStr">
        <is>
          <t>Aditif</t>
        </is>
      </c>
      <c r="P29" s="16" t="inlineStr">
        <is>
          <t>Meningkatkan P tersedia</t>
        </is>
      </c>
    </row>
    <row r="30">
      <c r="A30" s="4" t="n">
        <v>27</v>
      </c>
      <c r="B30" s="5" t="inlineStr">
        <is>
          <t>Enzim NSP</t>
        </is>
      </c>
      <c r="C30" s="6" t="n">
        <v>85000</v>
      </c>
      <c r="D30" s="7" t="n">
        <v>1</v>
      </c>
      <c r="E30" s="7" t="n">
        <v>7</v>
      </c>
      <c r="F30" s="7" t="n">
        <v>0</v>
      </c>
      <c r="G30" s="7" t="n">
        <v>1</v>
      </c>
      <c r="H30" s="7" t="n">
        <v>5</v>
      </c>
      <c r="I30" s="8" t="n">
        <v>0</v>
      </c>
      <c r="J30" s="8" t="n">
        <v>0</v>
      </c>
      <c r="K30" s="9" t="n"/>
      <c r="L30" s="8" t="n">
        <v>0</v>
      </c>
      <c r="M30" s="8" t="n">
        <v>0</v>
      </c>
      <c r="N30" s="9">
        <f>C30/E30</f>
        <v/>
      </c>
      <c r="O30" s="5" t="inlineStr">
        <is>
          <t>Aditif</t>
        </is>
      </c>
      <c r="P30" s="10" t="inlineStr">
        <is>
          <t>Xylanase / Glucanase</t>
        </is>
      </c>
    </row>
    <row r="33" ht="18" customHeight="1">
      <c r="A33" s="17" t="inlineStr">
        <is>
          <t>LEGENDA KATEGORI</t>
        </is>
      </c>
    </row>
    <row r="34">
      <c r="A34" s="18" t="inlineStr">
        <is>
          <t>Energi / Karbo</t>
        </is>
      </c>
      <c r="E34" s="19" t="inlineStr">
        <is>
          <t>Protein Nabati</t>
        </is>
      </c>
      <c r="I34" s="20" t="inlineStr">
        <is>
          <t>Protein Hewani</t>
        </is>
      </c>
      <c r="M34" s="21" t="inlineStr">
        <is>
          <t>Lemak / Minyak</t>
        </is>
      </c>
    </row>
    <row r="35">
      <c r="A35" s="22" t="inlineStr">
        <is>
          <t>Mineral</t>
        </is>
      </c>
      <c r="E35" s="23" t="inlineStr">
        <is>
          <t>Asam Amino</t>
        </is>
      </c>
      <c r="I35" s="18" t="inlineStr">
        <is>
          <t>Vitamin-Mineral</t>
        </is>
      </c>
      <c r="M35" s="24" t="inlineStr">
        <is>
          <t>Aditif</t>
        </is>
      </c>
    </row>
    <row r="37">
      <c r="A37" s="25" t="inlineStr">
        <is>
          <t>⬆ Kolom ORANGE (Harga/kg) = kamu yang isi sesuai harga pasar lokal. Kolom lain = nilai nutrisi referensi (edit jika ada data lab sendiri).</t>
        </is>
      </c>
    </row>
  </sheetData>
  <mergeCells count="12">
    <mergeCell ref="A34:D34"/>
    <mergeCell ref="A1:P1"/>
    <mergeCell ref="E34:H34"/>
    <mergeCell ref="A2:P2"/>
    <mergeCell ref="I34:L34"/>
    <mergeCell ref="A35:D35"/>
    <mergeCell ref="E35:H35"/>
    <mergeCell ref="I35:L35"/>
    <mergeCell ref="M35:P35"/>
    <mergeCell ref="M34:P34"/>
    <mergeCell ref="A37:P37"/>
    <mergeCell ref="A33:P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4" customWidth="1" min="28" max="28"/>
    <col width="10" customWidth="1" min="29" max="29"/>
  </cols>
  <sheetData>
    <row r="1" ht="26" customHeight="1">
      <c r="A1" s="1" t="inlineStr">
        <is>
          <t>PPBIB — TEMPLATE FORMULASI PAKAN AYAM (UNGGAS)</t>
        </is>
      </c>
    </row>
    <row r="2" ht="24" customHeight="1">
      <c r="A2" s="26" t="inlineStr">
        <is>
          <t>Pusat Pelatihan Budidaya Unggas  |  Instruktur: Aditiya Nugraha  |  Standar nutrisi: Broiler Starter (SNI 01-3931)</t>
        </is>
      </c>
      <c r="AB2" s="27" t="inlineStr">
        <is>
          <t>⬇ Total Batch (kg)</t>
        </is>
      </c>
      <c r="AC2" s="28" t="n">
        <v>100</v>
      </c>
    </row>
    <row r="3" ht="38" customHeight="1">
      <c r="A3" s="3" t="inlineStr">
        <is>
          <t>No</t>
        </is>
      </c>
      <c r="B3" s="3" t="inlineStr">
        <is>
          <t>Nama Bahan</t>
        </is>
      </c>
      <c r="C3" s="29" t="inlineStr">
        <is>
          <t>Proporsi
(%)</t>
        </is>
      </c>
      <c r="D3" s="3" t="inlineStr">
        <is>
          <t>Kadar Air
(%)</t>
        </is>
      </c>
      <c r="E3" s="3" t="inlineStr">
        <is>
          <t>Kontrib
Air</t>
        </is>
      </c>
      <c r="F3" s="3" t="inlineStr">
        <is>
          <t>Protein
(%)</t>
        </is>
      </c>
      <c r="G3" s="3" t="inlineStr">
        <is>
          <t>Kontrib
Protein</t>
        </is>
      </c>
      <c r="H3" s="3" t="inlineStr">
        <is>
          <t>Lemak
(%)</t>
        </is>
      </c>
      <c r="I3" s="3" t="inlineStr">
        <is>
          <t>Kontrib
Lemak</t>
        </is>
      </c>
      <c r="J3" s="3" t="inlineStr">
        <is>
          <t>Serat Kasar
(%)</t>
        </is>
      </c>
      <c r="K3" s="3" t="inlineStr">
        <is>
          <t>Kontrib
SK</t>
        </is>
      </c>
      <c r="L3" s="3" t="inlineStr">
        <is>
          <t>Abu
(%)</t>
        </is>
      </c>
      <c r="M3" s="3" t="inlineStr">
        <is>
          <t>Kontrib
Abu</t>
        </is>
      </c>
      <c r="N3" s="3" t="inlineStr">
        <is>
          <t>Ca
(%)</t>
        </is>
      </c>
      <c r="O3" s="3" t="inlineStr">
        <is>
          <t>Kontrib
Ca</t>
        </is>
      </c>
      <c r="P3" s="3" t="inlineStr">
        <is>
          <t>Fosfor tsd
(%)</t>
        </is>
      </c>
      <c r="Q3" s="3" t="inlineStr">
        <is>
          <t>Kontrib
P</t>
        </is>
      </c>
      <c r="R3" s="3" t="inlineStr">
        <is>
          <t>ME
(kcal/kg)</t>
        </is>
      </c>
      <c r="S3" s="3" t="inlineStr">
        <is>
          <t>Kontrib
ME</t>
        </is>
      </c>
      <c r="T3" s="3" t="inlineStr">
        <is>
          <t>Lisin
(%)</t>
        </is>
      </c>
      <c r="U3" s="3" t="inlineStr">
        <is>
          <t>Kontrib
Lisin</t>
        </is>
      </c>
      <c r="V3" s="3" t="inlineStr">
        <is>
          <t>Metionin
(%)</t>
        </is>
      </c>
      <c r="W3" s="3" t="inlineStr">
        <is>
          <t>Kontrib
Met</t>
        </is>
      </c>
      <c r="X3" s="3" t="inlineStr">
        <is>
          <t>Harga/kg
(Rp)</t>
        </is>
      </c>
      <c r="Y3" s="3" t="inlineStr">
        <is>
          <t>Biaya/kg
Pakan</t>
        </is>
      </c>
      <c r="Z3" s="3" t="inlineStr">
        <is>
          <t>Proporsi
(kg)</t>
        </is>
      </c>
    </row>
    <row r="4" ht="28" customHeight="1">
      <c r="A4" s="30" t="inlineStr">
        <is>
          <t>Nomor urutan</t>
        </is>
      </c>
      <c r="B4" s="30" t="inlineStr">
        <is>
          <t>Daftar bahan baku</t>
        </is>
      </c>
      <c r="C4" s="31" t="inlineStr">
        <is>
          <t>← Ini yang kamu ubah</t>
        </is>
      </c>
      <c r="D4" s="30" t="inlineStr">
        <is>
          <t>Auto-link Ref</t>
        </is>
      </c>
      <c r="E4" s="30">
        <f>C×D÷100</f>
        <v/>
      </c>
      <c r="F4" s="30" t="inlineStr">
        <is>
          <t>Auto-link Ref</t>
        </is>
      </c>
      <c r="G4" s="30">
        <f>C×F÷100</f>
        <v/>
      </c>
      <c r="H4" s="30" t="inlineStr">
        <is>
          <t>Auto-link Ref</t>
        </is>
      </c>
      <c r="I4" s="30">
        <f>C×H÷100</f>
        <v/>
      </c>
      <c r="J4" s="30" t="inlineStr">
        <is>
          <t>Auto-link Ref</t>
        </is>
      </c>
      <c r="K4" s="30">
        <f>C×J÷100</f>
        <v/>
      </c>
      <c r="L4" s="30" t="inlineStr">
        <is>
          <t>Auto-link Ref</t>
        </is>
      </c>
      <c r="M4" s="30">
        <f>C×L÷100</f>
        <v/>
      </c>
      <c r="N4" s="30" t="inlineStr">
        <is>
          <t>Auto-link Ref</t>
        </is>
      </c>
      <c r="O4" s="30">
        <f>C×N÷100</f>
        <v/>
      </c>
      <c r="P4" s="30" t="inlineStr">
        <is>
          <t>Auto-link Ref</t>
        </is>
      </c>
      <c r="Q4" s="30">
        <f>C×P÷100</f>
        <v/>
      </c>
      <c r="R4" s="30" t="inlineStr">
        <is>
          <t>Auto-link Ref</t>
        </is>
      </c>
      <c r="S4" s="30">
        <f>C×R÷100</f>
        <v/>
      </c>
      <c r="T4" s="30" t="inlineStr">
        <is>
          <t>Auto-link Ref</t>
        </is>
      </c>
      <c r="U4" s="30">
        <f>C×T÷100</f>
        <v/>
      </c>
      <c r="V4" s="30" t="inlineStr">
        <is>
          <t>Auto-link Ref</t>
        </is>
      </c>
      <c r="W4" s="30">
        <f>C×V÷100</f>
        <v/>
      </c>
      <c r="X4" s="30" t="inlineStr">
        <is>
          <t>Auto-link Ref</t>
        </is>
      </c>
      <c r="Y4" s="30">
        <f>C×X÷100</f>
        <v/>
      </c>
      <c r="Z4" s="30" t="inlineStr">
        <is>
          <t>← Isi batch di AC2</t>
        </is>
      </c>
    </row>
    <row r="5" ht="4" customHeight="1"/>
    <row r="6">
      <c r="A6" s="4" t="n">
        <v>1</v>
      </c>
      <c r="B6" s="5" t="inlineStr">
        <is>
          <t>Jagung</t>
        </is>
      </c>
      <c r="C6" s="32" t="n">
        <v>59</v>
      </c>
      <c r="D6" s="33">
        <f>'Referensi Bahan Baku'!D4</f>
        <v/>
      </c>
      <c r="E6" s="33">
        <f>C6*D6/100</f>
        <v/>
      </c>
      <c r="F6" s="33">
        <f>'Referensi Bahan Baku'!E4</f>
        <v/>
      </c>
      <c r="G6" s="33">
        <f>C6*F6/100</f>
        <v/>
      </c>
      <c r="H6" s="33">
        <f>'Referensi Bahan Baku'!F4</f>
        <v/>
      </c>
      <c r="I6" s="33">
        <f>C6*H6/100</f>
        <v/>
      </c>
      <c r="J6" s="33">
        <f>'Referensi Bahan Baku'!G4</f>
        <v/>
      </c>
      <c r="K6" s="33">
        <f>C6*J6/100</f>
        <v/>
      </c>
      <c r="L6" s="33">
        <f>'Referensi Bahan Baku'!H4</f>
        <v/>
      </c>
      <c r="M6" s="33">
        <f>C6*L6/100</f>
        <v/>
      </c>
      <c r="N6" s="34">
        <f>'Referensi Bahan Baku'!I4</f>
        <v/>
      </c>
      <c r="O6" s="34">
        <f>C6*N6/100</f>
        <v/>
      </c>
      <c r="P6" s="34">
        <f>'Referensi Bahan Baku'!J4</f>
        <v/>
      </c>
      <c r="Q6" s="34">
        <f>C6*P6/100</f>
        <v/>
      </c>
      <c r="R6" s="35">
        <f>'Referensi Bahan Baku'!K4</f>
        <v/>
      </c>
      <c r="S6" s="35">
        <f>IF(ISNUMBER(R6),C6*R6/100,0)</f>
        <v/>
      </c>
      <c r="T6" s="34">
        <f>'Referensi Bahan Baku'!L4</f>
        <v/>
      </c>
      <c r="U6" s="34">
        <f>C6*T6/100</f>
        <v/>
      </c>
      <c r="V6" s="34">
        <f>'Referensi Bahan Baku'!M4</f>
        <v/>
      </c>
      <c r="W6" s="34">
        <f>C6*V6/100</f>
        <v/>
      </c>
      <c r="X6" s="35">
        <f>'Referensi Bahan Baku'!C4</f>
        <v/>
      </c>
      <c r="Y6" s="35">
        <f>C6*X6/100</f>
        <v/>
      </c>
      <c r="Z6" s="33">
        <f>C6/100*$AC$2</f>
        <v/>
      </c>
    </row>
    <row r="7">
      <c r="A7" s="11" t="n">
        <v>2</v>
      </c>
      <c r="B7" s="12" t="inlineStr">
        <is>
          <t>Dedak halus</t>
        </is>
      </c>
      <c r="C7" s="32" t="n">
        <v>8</v>
      </c>
      <c r="D7" s="33">
        <f>'Referensi Bahan Baku'!D5</f>
        <v/>
      </c>
      <c r="E7" s="33">
        <f>C7*D7/100</f>
        <v/>
      </c>
      <c r="F7" s="33">
        <f>'Referensi Bahan Baku'!E5</f>
        <v/>
      </c>
      <c r="G7" s="33">
        <f>C7*F7/100</f>
        <v/>
      </c>
      <c r="H7" s="33">
        <f>'Referensi Bahan Baku'!F5</f>
        <v/>
      </c>
      <c r="I7" s="33">
        <f>C7*H7/100</f>
        <v/>
      </c>
      <c r="J7" s="33">
        <f>'Referensi Bahan Baku'!G5</f>
        <v/>
      </c>
      <c r="K7" s="33">
        <f>C7*J7/100</f>
        <v/>
      </c>
      <c r="L7" s="33">
        <f>'Referensi Bahan Baku'!H5</f>
        <v/>
      </c>
      <c r="M7" s="33">
        <f>C7*L7/100</f>
        <v/>
      </c>
      <c r="N7" s="34">
        <f>'Referensi Bahan Baku'!I5</f>
        <v/>
      </c>
      <c r="O7" s="34">
        <f>C7*N7/100</f>
        <v/>
      </c>
      <c r="P7" s="34">
        <f>'Referensi Bahan Baku'!J5</f>
        <v/>
      </c>
      <c r="Q7" s="34">
        <f>C7*P7/100</f>
        <v/>
      </c>
      <c r="R7" s="35">
        <f>'Referensi Bahan Baku'!K5</f>
        <v/>
      </c>
      <c r="S7" s="35">
        <f>IF(ISNUMBER(R7),C7*R7/100,0)</f>
        <v/>
      </c>
      <c r="T7" s="34">
        <f>'Referensi Bahan Baku'!L5</f>
        <v/>
      </c>
      <c r="U7" s="34">
        <f>C7*T7/100</f>
        <v/>
      </c>
      <c r="V7" s="34">
        <f>'Referensi Bahan Baku'!M5</f>
        <v/>
      </c>
      <c r="W7" s="34">
        <f>C7*V7/100</f>
        <v/>
      </c>
      <c r="X7" s="35">
        <f>'Referensi Bahan Baku'!C5</f>
        <v/>
      </c>
      <c r="Y7" s="35">
        <f>C7*X7/100</f>
        <v/>
      </c>
      <c r="Z7" s="33">
        <f>C7/100*$AC$2</f>
        <v/>
      </c>
    </row>
    <row r="8">
      <c r="A8" s="4" t="n">
        <v>3</v>
      </c>
      <c r="B8" s="5" t="inlineStr">
        <is>
          <t>Pollard</t>
        </is>
      </c>
      <c r="C8" s="32" t="n"/>
      <c r="D8" s="33">
        <f>'Referensi Bahan Baku'!D6</f>
        <v/>
      </c>
      <c r="E8" s="33">
        <f>C8*D8/100</f>
        <v/>
      </c>
      <c r="F8" s="33">
        <f>'Referensi Bahan Baku'!E6</f>
        <v/>
      </c>
      <c r="G8" s="33">
        <f>C8*F8/100</f>
        <v/>
      </c>
      <c r="H8" s="33">
        <f>'Referensi Bahan Baku'!F6</f>
        <v/>
      </c>
      <c r="I8" s="33">
        <f>C8*H8/100</f>
        <v/>
      </c>
      <c r="J8" s="33">
        <f>'Referensi Bahan Baku'!G6</f>
        <v/>
      </c>
      <c r="K8" s="33">
        <f>C8*J8/100</f>
        <v/>
      </c>
      <c r="L8" s="33">
        <f>'Referensi Bahan Baku'!H6</f>
        <v/>
      </c>
      <c r="M8" s="33">
        <f>C8*L8/100</f>
        <v/>
      </c>
      <c r="N8" s="34">
        <f>'Referensi Bahan Baku'!I6</f>
        <v/>
      </c>
      <c r="O8" s="34">
        <f>C8*N8/100</f>
        <v/>
      </c>
      <c r="P8" s="34">
        <f>'Referensi Bahan Baku'!J6</f>
        <v/>
      </c>
      <c r="Q8" s="34">
        <f>C8*P8/100</f>
        <v/>
      </c>
      <c r="R8" s="35">
        <f>'Referensi Bahan Baku'!K6</f>
        <v/>
      </c>
      <c r="S8" s="35">
        <f>IF(ISNUMBER(R8),C8*R8/100,0)</f>
        <v/>
      </c>
      <c r="T8" s="34">
        <f>'Referensi Bahan Baku'!L6</f>
        <v/>
      </c>
      <c r="U8" s="34">
        <f>C8*T8/100</f>
        <v/>
      </c>
      <c r="V8" s="34">
        <f>'Referensi Bahan Baku'!M6</f>
        <v/>
      </c>
      <c r="W8" s="34">
        <f>C8*V8/100</f>
        <v/>
      </c>
      <c r="X8" s="35">
        <f>'Referensi Bahan Baku'!C6</f>
        <v/>
      </c>
      <c r="Y8" s="35">
        <f>C8*X8/100</f>
        <v/>
      </c>
      <c r="Z8" s="33">
        <f>C8/100*$AC$2</f>
        <v/>
      </c>
    </row>
    <row r="9">
      <c r="A9" s="11" t="n">
        <v>4</v>
      </c>
      <c r="B9" s="12" t="inlineStr">
        <is>
          <t>Tapioka</t>
        </is>
      </c>
      <c r="C9" s="32" t="n"/>
      <c r="D9" s="33">
        <f>'Referensi Bahan Baku'!D7</f>
        <v/>
      </c>
      <c r="E9" s="33">
        <f>C9*D9/100</f>
        <v/>
      </c>
      <c r="F9" s="33">
        <f>'Referensi Bahan Baku'!E7</f>
        <v/>
      </c>
      <c r="G9" s="33">
        <f>C9*F9/100</f>
        <v/>
      </c>
      <c r="H9" s="33">
        <f>'Referensi Bahan Baku'!F7</f>
        <v/>
      </c>
      <c r="I9" s="33">
        <f>C9*H9/100</f>
        <v/>
      </c>
      <c r="J9" s="33">
        <f>'Referensi Bahan Baku'!G7</f>
        <v/>
      </c>
      <c r="K9" s="33">
        <f>C9*J9/100</f>
        <v/>
      </c>
      <c r="L9" s="33">
        <f>'Referensi Bahan Baku'!H7</f>
        <v/>
      </c>
      <c r="M9" s="33">
        <f>C9*L9/100</f>
        <v/>
      </c>
      <c r="N9" s="34">
        <f>'Referensi Bahan Baku'!I7</f>
        <v/>
      </c>
      <c r="O9" s="34">
        <f>C9*N9/100</f>
        <v/>
      </c>
      <c r="P9" s="34">
        <f>'Referensi Bahan Baku'!J7</f>
        <v/>
      </c>
      <c r="Q9" s="34">
        <f>C9*P9/100</f>
        <v/>
      </c>
      <c r="R9" s="35">
        <f>'Referensi Bahan Baku'!K7</f>
        <v/>
      </c>
      <c r="S9" s="35">
        <f>IF(ISNUMBER(R9),C9*R9/100,0)</f>
        <v/>
      </c>
      <c r="T9" s="34">
        <f>'Referensi Bahan Baku'!L7</f>
        <v/>
      </c>
      <c r="U9" s="34">
        <f>C9*T9/100</f>
        <v/>
      </c>
      <c r="V9" s="34">
        <f>'Referensi Bahan Baku'!M7</f>
        <v/>
      </c>
      <c r="W9" s="34">
        <f>C9*V9/100</f>
        <v/>
      </c>
      <c r="X9" s="35">
        <f>'Referensi Bahan Baku'!C7</f>
        <v/>
      </c>
      <c r="Y9" s="35">
        <f>C9*X9/100</f>
        <v/>
      </c>
      <c r="Z9" s="33">
        <f>C9/100*$AC$2</f>
        <v/>
      </c>
    </row>
    <row r="10">
      <c r="A10" s="4" t="n">
        <v>5</v>
      </c>
      <c r="B10" s="5" t="inlineStr">
        <is>
          <t>Bungkil kedelai</t>
        </is>
      </c>
      <c r="C10" s="32" t="n">
        <v>20</v>
      </c>
      <c r="D10" s="33">
        <f>'Referensi Bahan Baku'!D8</f>
        <v/>
      </c>
      <c r="E10" s="33">
        <f>C10*D10/100</f>
        <v/>
      </c>
      <c r="F10" s="33">
        <f>'Referensi Bahan Baku'!E8</f>
        <v/>
      </c>
      <c r="G10" s="33">
        <f>C10*F10/100</f>
        <v/>
      </c>
      <c r="H10" s="33">
        <f>'Referensi Bahan Baku'!F8</f>
        <v/>
      </c>
      <c r="I10" s="33">
        <f>C10*H10/100</f>
        <v/>
      </c>
      <c r="J10" s="33">
        <f>'Referensi Bahan Baku'!G8</f>
        <v/>
      </c>
      <c r="K10" s="33">
        <f>C10*J10/100</f>
        <v/>
      </c>
      <c r="L10" s="33">
        <f>'Referensi Bahan Baku'!H8</f>
        <v/>
      </c>
      <c r="M10" s="33">
        <f>C10*L10/100</f>
        <v/>
      </c>
      <c r="N10" s="34">
        <f>'Referensi Bahan Baku'!I8</f>
        <v/>
      </c>
      <c r="O10" s="34">
        <f>C10*N10/100</f>
        <v/>
      </c>
      <c r="P10" s="34">
        <f>'Referensi Bahan Baku'!J8</f>
        <v/>
      </c>
      <c r="Q10" s="34">
        <f>C10*P10/100</f>
        <v/>
      </c>
      <c r="R10" s="35">
        <f>'Referensi Bahan Baku'!K8</f>
        <v/>
      </c>
      <c r="S10" s="35">
        <f>IF(ISNUMBER(R10),C10*R10/100,0)</f>
        <v/>
      </c>
      <c r="T10" s="34">
        <f>'Referensi Bahan Baku'!L8</f>
        <v/>
      </c>
      <c r="U10" s="34">
        <f>C10*T10/100</f>
        <v/>
      </c>
      <c r="V10" s="34">
        <f>'Referensi Bahan Baku'!M8</f>
        <v/>
      </c>
      <c r="W10" s="34">
        <f>C10*V10/100</f>
        <v/>
      </c>
      <c r="X10" s="35">
        <f>'Referensi Bahan Baku'!C8</f>
        <v/>
      </c>
      <c r="Y10" s="35">
        <f>C10*X10/100</f>
        <v/>
      </c>
      <c r="Z10" s="33">
        <f>C10/100*$AC$2</f>
        <v/>
      </c>
    </row>
    <row r="11">
      <c r="A11" s="11" t="n">
        <v>6</v>
      </c>
      <c r="B11" s="12" t="inlineStr">
        <is>
          <t>Corn gluten meal</t>
        </is>
      </c>
      <c r="C11" s="32" t="n">
        <v>3</v>
      </c>
      <c r="D11" s="33">
        <f>'Referensi Bahan Baku'!D9</f>
        <v/>
      </c>
      <c r="E11" s="33">
        <f>C11*D11/100</f>
        <v/>
      </c>
      <c r="F11" s="33">
        <f>'Referensi Bahan Baku'!E9</f>
        <v/>
      </c>
      <c r="G11" s="33">
        <f>C11*F11/100</f>
        <v/>
      </c>
      <c r="H11" s="33">
        <f>'Referensi Bahan Baku'!F9</f>
        <v/>
      </c>
      <c r="I11" s="33">
        <f>C11*H11/100</f>
        <v/>
      </c>
      <c r="J11" s="33">
        <f>'Referensi Bahan Baku'!G9</f>
        <v/>
      </c>
      <c r="K11" s="33">
        <f>C11*J11/100</f>
        <v/>
      </c>
      <c r="L11" s="33">
        <f>'Referensi Bahan Baku'!H9</f>
        <v/>
      </c>
      <c r="M11" s="33">
        <f>C11*L11/100</f>
        <v/>
      </c>
      <c r="N11" s="34">
        <f>'Referensi Bahan Baku'!I9</f>
        <v/>
      </c>
      <c r="O11" s="34">
        <f>C11*N11/100</f>
        <v/>
      </c>
      <c r="P11" s="34">
        <f>'Referensi Bahan Baku'!J9</f>
        <v/>
      </c>
      <c r="Q11" s="34">
        <f>C11*P11/100</f>
        <v/>
      </c>
      <c r="R11" s="35">
        <f>'Referensi Bahan Baku'!K9</f>
        <v/>
      </c>
      <c r="S11" s="35">
        <f>IF(ISNUMBER(R11),C11*R11/100,0)</f>
        <v/>
      </c>
      <c r="T11" s="34">
        <f>'Referensi Bahan Baku'!L9</f>
        <v/>
      </c>
      <c r="U11" s="34">
        <f>C11*T11/100</f>
        <v/>
      </c>
      <c r="V11" s="34">
        <f>'Referensi Bahan Baku'!M9</f>
        <v/>
      </c>
      <c r="W11" s="34">
        <f>C11*V11/100</f>
        <v/>
      </c>
      <c r="X11" s="35">
        <f>'Referensi Bahan Baku'!C9</f>
        <v/>
      </c>
      <c r="Y11" s="35">
        <f>C11*X11/100</f>
        <v/>
      </c>
      <c r="Z11" s="33">
        <f>C11/100*$AC$2</f>
        <v/>
      </c>
    </row>
    <row r="12">
      <c r="A12" s="4" t="n">
        <v>7</v>
      </c>
      <c r="B12" s="5" t="inlineStr">
        <is>
          <t>Corn gluten feed</t>
        </is>
      </c>
      <c r="C12" s="32" t="n"/>
      <c r="D12" s="33">
        <f>'Referensi Bahan Baku'!D10</f>
        <v/>
      </c>
      <c r="E12" s="33">
        <f>C12*D12/100</f>
        <v/>
      </c>
      <c r="F12" s="33">
        <f>'Referensi Bahan Baku'!E10</f>
        <v/>
      </c>
      <c r="G12" s="33">
        <f>C12*F12/100</f>
        <v/>
      </c>
      <c r="H12" s="33">
        <f>'Referensi Bahan Baku'!F10</f>
        <v/>
      </c>
      <c r="I12" s="33">
        <f>C12*H12/100</f>
        <v/>
      </c>
      <c r="J12" s="33">
        <f>'Referensi Bahan Baku'!G10</f>
        <v/>
      </c>
      <c r="K12" s="33">
        <f>C12*J12/100</f>
        <v/>
      </c>
      <c r="L12" s="33">
        <f>'Referensi Bahan Baku'!H10</f>
        <v/>
      </c>
      <c r="M12" s="33">
        <f>C12*L12/100</f>
        <v/>
      </c>
      <c r="N12" s="34">
        <f>'Referensi Bahan Baku'!I10</f>
        <v/>
      </c>
      <c r="O12" s="34">
        <f>C12*N12/100</f>
        <v/>
      </c>
      <c r="P12" s="34">
        <f>'Referensi Bahan Baku'!J10</f>
        <v/>
      </c>
      <c r="Q12" s="34">
        <f>C12*P12/100</f>
        <v/>
      </c>
      <c r="R12" s="35">
        <f>'Referensi Bahan Baku'!K10</f>
        <v/>
      </c>
      <c r="S12" s="35">
        <f>IF(ISNUMBER(R12),C12*R12/100,0)</f>
        <v/>
      </c>
      <c r="T12" s="34">
        <f>'Referensi Bahan Baku'!L10</f>
        <v/>
      </c>
      <c r="U12" s="34">
        <f>C12*T12/100</f>
        <v/>
      </c>
      <c r="V12" s="34">
        <f>'Referensi Bahan Baku'!M10</f>
        <v/>
      </c>
      <c r="W12" s="34">
        <f>C12*V12/100</f>
        <v/>
      </c>
      <c r="X12" s="35">
        <f>'Referensi Bahan Baku'!C10</f>
        <v/>
      </c>
      <c r="Y12" s="35">
        <f>C12*X12/100</f>
        <v/>
      </c>
      <c r="Z12" s="33">
        <f>C12/100*$AC$2</f>
        <v/>
      </c>
    </row>
    <row r="13">
      <c r="A13" s="11" t="n">
        <v>8</v>
      </c>
      <c r="B13" s="12" t="inlineStr">
        <is>
          <t>DDGS</t>
        </is>
      </c>
      <c r="C13" s="32" t="n"/>
      <c r="D13" s="33">
        <f>'Referensi Bahan Baku'!D11</f>
        <v/>
      </c>
      <c r="E13" s="33">
        <f>C13*D13/100</f>
        <v/>
      </c>
      <c r="F13" s="33">
        <f>'Referensi Bahan Baku'!E11</f>
        <v/>
      </c>
      <c r="G13" s="33">
        <f>C13*F13/100</f>
        <v/>
      </c>
      <c r="H13" s="33">
        <f>'Referensi Bahan Baku'!F11</f>
        <v/>
      </c>
      <c r="I13" s="33">
        <f>C13*H13/100</f>
        <v/>
      </c>
      <c r="J13" s="33">
        <f>'Referensi Bahan Baku'!G11</f>
        <v/>
      </c>
      <c r="K13" s="33">
        <f>C13*J13/100</f>
        <v/>
      </c>
      <c r="L13" s="33">
        <f>'Referensi Bahan Baku'!H11</f>
        <v/>
      </c>
      <c r="M13" s="33">
        <f>C13*L13/100</f>
        <v/>
      </c>
      <c r="N13" s="34">
        <f>'Referensi Bahan Baku'!I11</f>
        <v/>
      </c>
      <c r="O13" s="34">
        <f>C13*N13/100</f>
        <v/>
      </c>
      <c r="P13" s="34">
        <f>'Referensi Bahan Baku'!J11</f>
        <v/>
      </c>
      <c r="Q13" s="34">
        <f>C13*P13/100</f>
        <v/>
      </c>
      <c r="R13" s="35">
        <f>'Referensi Bahan Baku'!K11</f>
        <v/>
      </c>
      <c r="S13" s="35">
        <f>IF(ISNUMBER(R13),C13*R13/100,0)</f>
        <v/>
      </c>
      <c r="T13" s="34">
        <f>'Referensi Bahan Baku'!L11</f>
        <v/>
      </c>
      <c r="U13" s="34">
        <f>C13*T13/100</f>
        <v/>
      </c>
      <c r="V13" s="34">
        <f>'Referensi Bahan Baku'!M11</f>
        <v/>
      </c>
      <c r="W13" s="34">
        <f>C13*V13/100</f>
        <v/>
      </c>
      <c r="X13" s="35">
        <f>'Referensi Bahan Baku'!C11</f>
        <v/>
      </c>
      <c r="Y13" s="35">
        <f>C13*X13/100</f>
        <v/>
      </c>
      <c r="Z13" s="33">
        <f>C13/100*$AC$2</f>
        <v/>
      </c>
    </row>
    <row r="14">
      <c r="A14" s="4" t="n">
        <v>9</v>
      </c>
      <c r="B14" s="5" t="inlineStr">
        <is>
          <t>Bungkil sawit</t>
        </is>
      </c>
      <c r="C14" s="32" t="n"/>
      <c r="D14" s="33">
        <f>'Referensi Bahan Baku'!D12</f>
        <v/>
      </c>
      <c r="E14" s="33">
        <f>C14*D14/100</f>
        <v/>
      </c>
      <c r="F14" s="33">
        <f>'Referensi Bahan Baku'!E12</f>
        <v/>
      </c>
      <c r="G14" s="33">
        <f>C14*F14/100</f>
        <v/>
      </c>
      <c r="H14" s="33">
        <f>'Referensi Bahan Baku'!F12</f>
        <v/>
      </c>
      <c r="I14" s="33">
        <f>C14*H14/100</f>
        <v/>
      </c>
      <c r="J14" s="33">
        <f>'Referensi Bahan Baku'!G12</f>
        <v/>
      </c>
      <c r="K14" s="33">
        <f>C14*J14/100</f>
        <v/>
      </c>
      <c r="L14" s="33">
        <f>'Referensi Bahan Baku'!H12</f>
        <v/>
      </c>
      <c r="M14" s="33">
        <f>C14*L14/100</f>
        <v/>
      </c>
      <c r="N14" s="34">
        <f>'Referensi Bahan Baku'!I12</f>
        <v/>
      </c>
      <c r="O14" s="34">
        <f>C14*N14/100</f>
        <v/>
      </c>
      <c r="P14" s="34">
        <f>'Referensi Bahan Baku'!J12</f>
        <v/>
      </c>
      <c r="Q14" s="34">
        <f>C14*P14/100</f>
        <v/>
      </c>
      <c r="R14" s="35">
        <f>'Referensi Bahan Baku'!K12</f>
        <v/>
      </c>
      <c r="S14" s="35">
        <f>IF(ISNUMBER(R14),C14*R14/100,0)</f>
        <v/>
      </c>
      <c r="T14" s="34">
        <f>'Referensi Bahan Baku'!L12</f>
        <v/>
      </c>
      <c r="U14" s="34">
        <f>C14*T14/100</f>
        <v/>
      </c>
      <c r="V14" s="34">
        <f>'Referensi Bahan Baku'!M12</f>
        <v/>
      </c>
      <c r="W14" s="34">
        <f>C14*V14/100</f>
        <v/>
      </c>
      <c r="X14" s="35">
        <f>'Referensi Bahan Baku'!C12</f>
        <v/>
      </c>
      <c r="Y14" s="35">
        <f>C14*X14/100</f>
        <v/>
      </c>
      <c r="Z14" s="33">
        <f>C14/100*$AC$2</f>
        <v/>
      </c>
    </row>
    <row r="15">
      <c r="A15" s="11" t="n">
        <v>10</v>
      </c>
      <c r="B15" s="12" t="inlineStr">
        <is>
          <t>Bungkil kelapa</t>
        </is>
      </c>
      <c r="C15" s="32" t="n"/>
      <c r="D15" s="33">
        <f>'Referensi Bahan Baku'!D13</f>
        <v/>
      </c>
      <c r="E15" s="33">
        <f>C15*D15/100</f>
        <v/>
      </c>
      <c r="F15" s="33">
        <f>'Referensi Bahan Baku'!E13</f>
        <v/>
      </c>
      <c r="G15" s="33">
        <f>C15*F15/100</f>
        <v/>
      </c>
      <c r="H15" s="33">
        <f>'Referensi Bahan Baku'!F13</f>
        <v/>
      </c>
      <c r="I15" s="33">
        <f>C15*H15/100</f>
        <v/>
      </c>
      <c r="J15" s="33">
        <f>'Referensi Bahan Baku'!G13</f>
        <v/>
      </c>
      <c r="K15" s="33">
        <f>C15*J15/100</f>
        <v/>
      </c>
      <c r="L15" s="33">
        <f>'Referensi Bahan Baku'!H13</f>
        <v/>
      </c>
      <c r="M15" s="33">
        <f>C15*L15/100</f>
        <v/>
      </c>
      <c r="N15" s="34">
        <f>'Referensi Bahan Baku'!I13</f>
        <v/>
      </c>
      <c r="O15" s="34">
        <f>C15*N15/100</f>
        <v/>
      </c>
      <c r="P15" s="34">
        <f>'Referensi Bahan Baku'!J13</f>
        <v/>
      </c>
      <c r="Q15" s="34">
        <f>C15*P15/100</f>
        <v/>
      </c>
      <c r="R15" s="35">
        <f>'Referensi Bahan Baku'!K13</f>
        <v/>
      </c>
      <c r="S15" s="35">
        <f>IF(ISNUMBER(R15),C15*R15/100,0)</f>
        <v/>
      </c>
      <c r="T15" s="34">
        <f>'Referensi Bahan Baku'!L13</f>
        <v/>
      </c>
      <c r="U15" s="34">
        <f>C15*T15/100</f>
        <v/>
      </c>
      <c r="V15" s="34">
        <f>'Referensi Bahan Baku'!M13</f>
        <v/>
      </c>
      <c r="W15" s="34">
        <f>C15*V15/100</f>
        <v/>
      </c>
      <c r="X15" s="35">
        <f>'Referensi Bahan Baku'!C13</f>
        <v/>
      </c>
      <c r="Y15" s="35">
        <f>C15*X15/100</f>
        <v/>
      </c>
      <c r="Z15" s="33">
        <f>C15/100*$AC$2</f>
        <v/>
      </c>
    </row>
    <row r="16">
      <c r="A16" s="4" t="n">
        <v>11</v>
      </c>
      <c r="B16" s="5" t="inlineStr">
        <is>
          <t>Tepung ikan impor</t>
        </is>
      </c>
      <c r="C16" s="32" t="n"/>
      <c r="D16" s="33">
        <f>'Referensi Bahan Baku'!D14</f>
        <v/>
      </c>
      <c r="E16" s="33">
        <f>C16*D16/100</f>
        <v/>
      </c>
      <c r="F16" s="33">
        <f>'Referensi Bahan Baku'!E14</f>
        <v/>
      </c>
      <c r="G16" s="33">
        <f>C16*F16/100</f>
        <v/>
      </c>
      <c r="H16" s="33">
        <f>'Referensi Bahan Baku'!F14</f>
        <v/>
      </c>
      <c r="I16" s="33">
        <f>C16*H16/100</f>
        <v/>
      </c>
      <c r="J16" s="33">
        <f>'Referensi Bahan Baku'!G14</f>
        <v/>
      </c>
      <c r="K16" s="33">
        <f>C16*J16/100</f>
        <v/>
      </c>
      <c r="L16" s="33">
        <f>'Referensi Bahan Baku'!H14</f>
        <v/>
      </c>
      <c r="M16" s="33">
        <f>C16*L16/100</f>
        <v/>
      </c>
      <c r="N16" s="34">
        <f>'Referensi Bahan Baku'!I14</f>
        <v/>
      </c>
      <c r="O16" s="34">
        <f>C16*N16/100</f>
        <v/>
      </c>
      <c r="P16" s="34">
        <f>'Referensi Bahan Baku'!J14</f>
        <v/>
      </c>
      <c r="Q16" s="34">
        <f>C16*P16/100</f>
        <v/>
      </c>
      <c r="R16" s="35">
        <f>'Referensi Bahan Baku'!K14</f>
        <v/>
      </c>
      <c r="S16" s="35">
        <f>IF(ISNUMBER(R16),C16*R16/100,0)</f>
        <v/>
      </c>
      <c r="T16" s="34">
        <f>'Referensi Bahan Baku'!L14</f>
        <v/>
      </c>
      <c r="U16" s="34">
        <f>C16*T16/100</f>
        <v/>
      </c>
      <c r="V16" s="34">
        <f>'Referensi Bahan Baku'!M14</f>
        <v/>
      </c>
      <c r="W16" s="34">
        <f>C16*V16/100</f>
        <v/>
      </c>
      <c r="X16" s="35">
        <f>'Referensi Bahan Baku'!C14</f>
        <v/>
      </c>
      <c r="Y16" s="35">
        <f>C16*X16/100</f>
        <v/>
      </c>
      <c r="Z16" s="33">
        <f>C16/100*$AC$2</f>
        <v/>
      </c>
    </row>
    <row r="17">
      <c r="A17" s="11" t="n">
        <v>12</v>
      </c>
      <c r="B17" s="12" t="inlineStr">
        <is>
          <t>Tepung ikan lokal</t>
        </is>
      </c>
      <c r="C17" s="32" t="n">
        <v>4</v>
      </c>
      <c r="D17" s="33">
        <f>'Referensi Bahan Baku'!D15</f>
        <v/>
      </c>
      <c r="E17" s="33">
        <f>C17*D17/100</f>
        <v/>
      </c>
      <c r="F17" s="33">
        <f>'Referensi Bahan Baku'!E15</f>
        <v/>
      </c>
      <c r="G17" s="33">
        <f>C17*F17/100</f>
        <v/>
      </c>
      <c r="H17" s="33">
        <f>'Referensi Bahan Baku'!F15</f>
        <v/>
      </c>
      <c r="I17" s="33">
        <f>C17*H17/100</f>
        <v/>
      </c>
      <c r="J17" s="33">
        <f>'Referensi Bahan Baku'!G15</f>
        <v/>
      </c>
      <c r="K17" s="33">
        <f>C17*J17/100</f>
        <v/>
      </c>
      <c r="L17" s="33">
        <f>'Referensi Bahan Baku'!H15</f>
        <v/>
      </c>
      <c r="M17" s="33">
        <f>C17*L17/100</f>
        <v/>
      </c>
      <c r="N17" s="34">
        <f>'Referensi Bahan Baku'!I15</f>
        <v/>
      </c>
      <c r="O17" s="34">
        <f>C17*N17/100</f>
        <v/>
      </c>
      <c r="P17" s="34">
        <f>'Referensi Bahan Baku'!J15</f>
        <v/>
      </c>
      <c r="Q17" s="34">
        <f>C17*P17/100</f>
        <v/>
      </c>
      <c r="R17" s="35">
        <f>'Referensi Bahan Baku'!K15</f>
        <v/>
      </c>
      <c r="S17" s="35">
        <f>IF(ISNUMBER(R17),C17*R17/100,0)</f>
        <v/>
      </c>
      <c r="T17" s="34">
        <f>'Referensi Bahan Baku'!L15</f>
        <v/>
      </c>
      <c r="U17" s="34">
        <f>C17*T17/100</f>
        <v/>
      </c>
      <c r="V17" s="34">
        <f>'Referensi Bahan Baku'!M15</f>
        <v/>
      </c>
      <c r="W17" s="34">
        <f>C17*V17/100</f>
        <v/>
      </c>
      <c r="X17" s="35">
        <f>'Referensi Bahan Baku'!C15</f>
        <v/>
      </c>
      <c r="Y17" s="35">
        <f>C17*X17/100</f>
        <v/>
      </c>
      <c r="Z17" s="33">
        <f>C17/100*$AC$2</f>
        <v/>
      </c>
    </row>
    <row r="18">
      <c r="A18" s="4" t="n">
        <v>13</v>
      </c>
      <c r="B18" s="5" t="inlineStr">
        <is>
          <t>Meat bone meal</t>
        </is>
      </c>
      <c r="C18" s="32" t="n"/>
      <c r="D18" s="33">
        <f>'Referensi Bahan Baku'!D16</f>
        <v/>
      </c>
      <c r="E18" s="33">
        <f>C18*D18/100</f>
        <v/>
      </c>
      <c r="F18" s="33">
        <f>'Referensi Bahan Baku'!E16</f>
        <v/>
      </c>
      <c r="G18" s="33">
        <f>C18*F18/100</f>
        <v/>
      </c>
      <c r="H18" s="33">
        <f>'Referensi Bahan Baku'!F16</f>
        <v/>
      </c>
      <c r="I18" s="33">
        <f>C18*H18/100</f>
        <v/>
      </c>
      <c r="J18" s="33">
        <f>'Referensi Bahan Baku'!G16</f>
        <v/>
      </c>
      <c r="K18" s="33">
        <f>C18*J18/100</f>
        <v/>
      </c>
      <c r="L18" s="33">
        <f>'Referensi Bahan Baku'!H16</f>
        <v/>
      </c>
      <c r="M18" s="33">
        <f>C18*L18/100</f>
        <v/>
      </c>
      <c r="N18" s="34">
        <f>'Referensi Bahan Baku'!I16</f>
        <v/>
      </c>
      <c r="O18" s="34">
        <f>C18*N18/100</f>
        <v/>
      </c>
      <c r="P18" s="34">
        <f>'Referensi Bahan Baku'!J16</f>
        <v/>
      </c>
      <c r="Q18" s="34">
        <f>C18*P18/100</f>
        <v/>
      </c>
      <c r="R18" s="35">
        <f>'Referensi Bahan Baku'!K16</f>
        <v/>
      </c>
      <c r="S18" s="35">
        <f>IF(ISNUMBER(R18),C18*R18/100,0)</f>
        <v/>
      </c>
      <c r="T18" s="34">
        <f>'Referensi Bahan Baku'!L16</f>
        <v/>
      </c>
      <c r="U18" s="34">
        <f>C18*T18/100</f>
        <v/>
      </c>
      <c r="V18" s="34">
        <f>'Referensi Bahan Baku'!M16</f>
        <v/>
      </c>
      <c r="W18" s="34">
        <f>C18*V18/100</f>
        <v/>
      </c>
      <c r="X18" s="35">
        <f>'Referensi Bahan Baku'!C16</f>
        <v/>
      </c>
      <c r="Y18" s="35">
        <f>C18*X18/100</f>
        <v/>
      </c>
      <c r="Z18" s="33">
        <f>C18/100*$AC$2</f>
        <v/>
      </c>
    </row>
    <row r="19">
      <c r="A19" s="11" t="n">
        <v>14</v>
      </c>
      <c r="B19" s="12" t="inlineStr">
        <is>
          <t>CPO / Minyak sawit</t>
        </is>
      </c>
      <c r="C19" s="32" t="n">
        <v>3</v>
      </c>
      <c r="D19" s="33">
        <f>'Referensi Bahan Baku'!D17</f>
        <v/>
      </c>
      <c r="E19" s="33">
        <f>C19*D19/100</f>
        <v/>
      </c>
      <c r="F19" s="33">
        <f>'Referensi Bahan Baku'!E17</f>
        <v/>
      </c>
      <c r="G19" s="33">
        <f>C19*F19/100</f>
        <v/>
      </c>
      <c r="H19" s="33">
        <f>'Referensi Bahan Baku'!F17</f>
        <v/>
      </c>
      <c r="I19" s="33">
        <f>C19*H19/100</f>
        <v/>
      </c>
      <c r="J19" s="33">
        <f>'Referensi Bahan Baku'!G17</f>
        <v/>
      </c>
      <c r="K19" s="33">
        <f>C19*J19/100</f>
        <v/>
      </c>
      <c r="L19" s="33">
        <f>'Referensi Bahan Baku'!H17</f>
        <v/>
      </c>
      <c r="M19" s="33">
        <f>C19*L19/100</f>
        <v/>
      </c>
      <c r="N19" s="34">
        <f>'Referensi Bahan Baku'!I17</f>
        <v/>
      </c>
      <c r="O19" s="34">
        <f>C19*N19/100</f>
        <v/>
      </c>
      <c r="P19" s="34">
        <f>'Referensi Bahan Baku'!J17</f>
        <v/>
      </c>
      <c r="Q19" s="34">
        <f>C19*P19/100</f>
        <v/>
      </c>
      <c r="R19" s="35">
        <f>'Referensi Bahan Baku'!K17</f>
        <v/>
      </c>
      <c r="S19" s="35">
        <f>IF(ISNUMBER(R19),C19*R19/100,0)</f>
        <v/>
      </c>
      <c r="T19" s="34">
        <f>'Referensi Bahan Baku'!L17</f>
        <v/>
      </c>
      <c r="U19" s="34">
        <f>C19*T19/100</f>
        <v/>
      </c>
      <c r="V19" s="34">
        <f>'Referensi Bahan Baku'!M17</f>
        <v/>
      </c>
      <c r="W19" s="34">
        <f>C19*V19/100</f>
        <v/>
      </c>
      <c r="X19" s="35">
        <f>'Referensi Bahan Baku'!C17</f>
        <v/>
      </c>
      <c r="Y19" s="35">
        <f>C19*X19/100</f>
        <v/>
      </c>
      <c r="Z19" s="33">
        <f>C19/100*$AC$2</f>
        <v/>
      </c>
    </row>
    <row r="20">
      <c r="A20" s="4" t="n">
        <v>15</v>
      </c>
      <c r="B20" s="5" t="inlineStr">
        <is>
          <t>Kapur (limestone)</t>
        </is>
      </c>
      <c r="C20" s="32" t="n">
        <v>1</v>
      </c>
      <c r="D20" s="33">
        <f>'Referensi Bahan Baku'!D18</f>
        <v/>
      </c>
      <c r="E20" s="33">
        <f>C20*D20/100</f>
        <v/>
      </c>
      <c r="F20" s="33">
        <f>'Referensi Bahan Baku'!E18</f>
        <v/>
      </c>
      <c r="G20" s="33">
        <f>C20*F20/100</f>
        <v/>
      </c>
      <c r="H20" s="33">
        <f>'Referensi Bahan Baku'!F18</f>
        <v/>
      </c>
      <c r="I20" s="33">
        <f>C20*H20/100</f>
        <v/>
      </c>
      <c r="J20" s="33">
        <f>'Referensi Bahan Baku'!G18</f>
        <v/>
      </c>
      <c r="K20" s="33">
        <f>C20*J20/100</f>
        <v/>
      </c>
      <c r="L20" s="33">
        <f>'Referensi Bahan Baku'!H18</f>
        <v/>
      </c>
      <c r="M20" s="33">
        <f>C20*L20/100</f>
        <v/>
      </c>
      <c r="N20" s="34">
        <f>'Referensi Bahan Baku'!I18</f>
        <v/>
      </c>
      <c r="O20" s="34">
        <f>C20*N20/100</f>
        <v/>
      </c>
      <c r="P20" s="34">
        <f>'Referensi Bahan Baku'!J18</f>
        <v/>
      </c>
      <c r="Q20" s="34">
        <f>C20*P20/100</f>
        <v/>
      </c>
      <c r="R20" s="35">
        <f>'Referensi Bahan Baku'!K18</f>
        <v/>
      </c>
      <c r="S20" s="35">
        <f>IF(ISNUMBER(R20),C20*R20/100,0)</f>
        <v/>
      </c>
      <c r="T20" s="34">
        <f>'Referensi Bahan Baku'!L18</f>
        <v/>
      </c>
      <c r="U20" s="34">
        <f>C20*T20/100</f>
        <v/>
      </c>
      <c r="V20" s="34">
        <f>'Referensi Bahan Baku'!M18</f>
        <v/>
      </c>
      <c r="W20" s="34">
        <f>C20*V20/100</f>
        <v/>
      </c>
      <c r="X20" s="35">
        <f>'Referensi Bahan Baku'!C18</f>
        <v/>
      </c>
      <c r="Y20" s="35">
        <f>C20*X20/100</f>
        <v/>
      </c>
      <c r="Z20" s="33">
        <f>C20/100*$AC$2</f>
        <v/>
      </c>
    </row>
    <row r="21">
      <c r="A21" s="11" t="n">
        <v>16</v>
      </c>
      <c r="B21" s="12" t="inlineStr">
        <is>
          <t>DCP</t>
        </is>
      </c>
      <c r="C21" s="32" t="n">
        <v>0.5</v>
      </c>
      <c r="D21" s="33">
        <f>'Referensi Bahan Baku'!D19</f>
        <v/>
      </c>
      <c r="E21" s="33">
        <f>C21*D21/100</f>
        <v/>
      </c>
      <c r="F21" s="33">
        <f>'Referensi Bahan Baku'!E19</f>
        <v/>
      </c>
      <c r="G21" s="33">
        <f>C21*F21/100</f>
        <v/>
      </c>
      <c r="H21" s="33">
        <f>'Referensi Bahan Baku'!F19</f>
        <v/>
      </c>
      <c r="I21" s="33">
        <f>C21*H21/100</f>
        <v/>
      </c>
      <c r="J21" s="33">
        <f>'Referensi Bahan Baku'!G19</f>
        <v/>
      </c>
      <c r="K21" s="33">
        <f>C21*J21/100</f>
        <v/>
      </c>
      <c r="L21" s="33">
        <f>'Referensi Bahan Baku'!H19</f>
        <v/>
      </c>
      <c r="M21" s="33">
        <f>C21*L21/100</f>
        <v/>
      </c>
      <c r="N21" s="34">
        <f>'Referensi Bahan Baku'!I19</f>
        <v/>
      </c>
      <c r="O21" s="34">
        <f>C21*N21/100</f>
        <v/>
      </c>
      <c r="P21" s="34">
        <f>'Referensi Bahan Baku'!J19</f>
        <v/>
      </c>
      <c r="Q21" s="34">
        <f>C21*P21/100</f>
        <v/>
      </c>
      <c r="R21" s="35">
        <f>'Referensi Bahan Baku'!K19</f>
        <v/>
      </c>
      <c r="S21" s="35">
        <f>IF(ISNUMBER(R21),C21*R21/100,0)</f>
        <v/>
      </c>
      <c r="T21" s="34">
        <f>'Referensi Bahan Baku'!L19</f>
        <v/>
      </c>
      <c r="U21" s="34">
        <f>C21*T21/100</f>
        <v/>
      </c>
      <c r="V21" s="34">
        <f>'Referensi Bahan Baku'!M19</f>
        <v/>
      </c>
      <c r="W21" s="34">
        <f>C21*V21/100</f>
        <v/>
      </c>
      <c r="X21" s="35">
        <f>'Referensi Bahan Baku'!C19</f>
        <v/>
      </c>
      <c r="Y21" s="35">
        <f>C21*X21/100</f>
        <v/>
      </c>
      <c r="Z21" s="33">
        <f>C21/100*$AC$2</f>
        <v/>
      </c>
    </row>
    <row r="22">
      <c r="A22" s="4" t="n">
        <v>17</v>
      </c>
      <c r="B22" s="5" t="inlineStr">
        <is>
          <t>Garam (NaCl)</t>
        </is>
      </c>
      <c r="C22" s="32" t="n">
        <v>0.3</v>
      </c>
      <c r="D22" s="33">
        <f>'Referensi Bahan Baku'!D20</f>
        <v/>
      </c>
      <c r="E22" s="33">
        <f>C22*D22/100</f>
        <v/>
      </c>
      <c r="F22" s="33">
        <f>'Referensi Bahan Baku'!E20</f>
        <v/>
      </c>
      <c r="G22" s="33">
        <f>C22*F22/100</f>
        <v/>
      </c>
      <c r="H22" s="33">
        <f>'Referensi Bahan Baku'!F20</f>
        <v/>
      </c>
      <c r="I22" s="33">
        <f>C22*H22/100</f>
        <v/>
      </c>
      <c r="J22" s="33">
        <f>'Referensi Bahan Baku'!G20</f>
        <v/>
      </c>
      <c r="K22" s="33">
        <f>C22*J22/100</f>
        <v/>
      </c>
      <c r="L22" s="33">
        <f>'Referensi Bahan Baku'!H20</f>
        <v/>
      </c>
      <c r="M22" s="33">
        <f>C22*L22/100</f>
        <v/>
      </c>
      <c r="N22" s="34">
        <f>'Referensi Bahan Baku'!I20</f>
        <v/>
      </c>
      <c r="O22" s="34">
        <f>C22*N22/100</f>
        <v/>
      </c>
      <c r="P22" s="34">
        <f>'Referensi Bahan Baku'!J20</f>
        <v/>
      </c>
      <c r="Q22" s="34">
        <f>C22*P22/100</f>
        <v/>
      </c>
      <c r="R22" s="35">
        <f>'Referensi Bahan Baku'!K20</f>
        <v/>
      </c>
      <c r="S22" s="35">
        <f>IF(ISNUMBER(R22),C22*R22/100,0)</f>
        <v/>
      </c>
      <c r="T22" s="34">
        <f>'Referensi Bahan Baku'!L20</f>
        <v/>
      </c>
      <c r="U22" s="34">
        <f>C22*T22/100</f>
        <v/>
      </c>
      <c r="V22" s="34">
        <f>'Referensi Bahan Baku'!M20</f>
        <v/>
      </c>
      <c r="W22" s="34">
        <f>C22*V22/100</f>
        <v/>
      </c>
      <c r="X22" s="35">
        <f>'Referensi Bahan Baku'!C20</f>
        <v/>
      </c>
      <c r="Y22" s="35">
        <f>C22*X22/100</f>
        <v/>
      </c>
      <c r="Z22" s="33">
        <f>C22/100*$AC$2</f>
        <v/>
      </c>
    </row>
    <row r="23">
      <c r="A23" s="11" t="n">
        <v>18</v>
      </c>
      <c r="B23" s="12" t="inlineStr">
        <is>
          <t>Kolin Klorida 60%</t>
        </is>
      </c>
      <c r="C23" s="32" t="n"/>
      <c r="D23" s="33">
        <f>'Referensi Bahan Baku'!D21</f>
        <v/>
      </c>
      <c r="E23" s="33">
        <f>C23*D23/100</f>
        <v/>
      </c>
      <c r="F23" s="33">
        <f>'Referensi Bahan Baku'!E21</f>
        <v/>
      </c>
      <c r="G23" s="33">
        <f>C23*F23/100</f>
        <v/>
      </c>
      <c r="H23" s="33">
        <f>'Referensi Bahan Baku'!F21</f>
        <v/>
      </c>
      <c r="I23" s="33">
        <f>C23*H23/100</f>
        <v/>
      </c>
      <c r="J23" s="33">
        <f>'Referensi Bahan Baku'!G21</f>
        <v/>
      </c>
      <c r="K23" s="33">
        <f>C23*J23/100</f>
        <v/>
      </c>
      <c r="L23" s="33">
        <f>'Referensi Bahan Baku'!H21</f>
        <v/>
      </c>
      <c r="M23" s="33">
        <f>C23*L23/100</f>
        <v/>
      </c>
      <c r="N23" s="34">
        <f>'Referensi Bahan Baku'!I21</f>
        <v/>
      </c>
      <c r="O23" s="34">
        <f>C23*N23/100</f>
        <v/>
      </c>
      <c r="P23" s="34">
        <f>'Referensi Bahan Baku'!J21</f>
        <v/>
      </c>
      <c r="Q23" s="34">
        <f>C23*P23/100</f>
        <v/>
      </c>
      <c r="R23" s="35">
        <f>'Referensi Bahan Baku'!K21</f>
        <v/>
      </c>
      <c r="S23" s="35">
        <f>IF(ISNUMBER(R23),C23*R23/100,0)</f>
        <v/>
      </c>
      <c r="T23" s="34">
        <f>'Referensi Bahan Baku'!L21</f>
        <v/>
      </c>
      <c r="U23" s="34">
        <f>C23*T23/100</f>
        <v/>
      </c>
      <c r="V23" s="34">
        <f>'Referensi Bahan Baku'!M21</f>
        <v/>
      </c>
      <c r="W23" s="34">
        <f>C23*V23/100</f>
        <v/>
      </c>
      <c r="X23" s="35">
        <f>'Referensi Bahan Baku'!C21</f>
        <v/>
      </c>
      <c r="Y23" s="35">
        <f>C23*X23/100</f>
        <v/>
      </c>
      <c r="Z23" s="33">
        <f>C23/100*$AC$2</f>
        <v/>
      </c>
    </row>
    <row r="24">
      <c r="A24" s="4" t="n">
        <v>19</v>
      </c>
      <c r="B24" s="5" t="inlineStr">
        <is>
          <t>Premix vit-mineral</t>
        </is>
      </c>
      <c r="C24" s="32" t="n">
        <v>0.3</v>
      </c>
      <c r="D24" s="33">
        <f>'Referensi Bahan Baku'!D22</f>
        <v/>
      </c>
      <c r="E24" s="33">
        <f>C24*D24/100</f>
        <v/>
      </c>
      <c r="F24" s="33">
        <f>'Referensi Bahan Baku'!E22</f>
        <v/>
      </c>
      <c r="G24" s="33">
        <f>C24*F24/100</f>
        <v/>
      </c>
      <c r="H24" s="33">
        <f>'Referensi Bahan Baku'!F22</f>
        <v/>
      </c>
      <c r="I24" s="33">
        <f>C24*H24/100</f>
        <v/>
      </c>
      <c r="J24" s="33">
        <f>'Referensi Bahan Baku'!G22</f>
        <v/>
      </c>
      <c r="K24" s="33">
        <f>C24*J24/100</f>
        <v/>
      </c>
      <c r="L24" s="33">
        <f>'Referensi Bahan Baku'!H22</f>
        <v/>
      </c>
      <c r="M24" s="33">
        <f>C24*L24/100</f>
        <v/>
      </c>
      <c r="N24" s="34">
        <f>'Referensi Bahan Baku'!I22</f>
        <v/>
      </c>
      <c r="O24" s="34">
        <f>C24*N24/100</f>
        <v/>
      </c>
      <c r="P24" s="34">
        <f>'Referensi Bahan Baku'!J22</f>
        <v/>
      </c>
      <c r="Q24" s="34">
        <f>C24*P24/100</f>
        <v/>
      </c>
      <c r="R24" s="35">
        <f>'Referensi Bahan Baku'!K22</f>
        <v/>
      </c>
      <c r="S24" s="35">
        <f>IF(ISNUMBER(R24),C24*R24/100,0)</f>
        <v/>
      </c>
      <c r="T24" s="34">
        <f>'Referensi Bahan Baku'!L22</f>
        <v/>
      </c>
      <c r="U24" s="34">
        <f>C24*T24/100</f>
        <v/>
      </c>
      <c r="V24" s="34">
        <f>'Referensi Bahan Baku'!M22</f>
        <v/>
      </c>
      <c r="W24" s="34">
        <f>C24*V24/100</f>
        <v/>
      </c>
      <c r="X24" s="35">
        <f>'Referensi Bahan Baku'!C22</f>
        <v/>
      </c>
      <c r="Y24" s="35">
        <f>C24*X24/100</f>
        <v/>
      </c>
      <c r="Z24" s="33">
        <f>C24/100*$AC$2</f>
        <v/>
      </c>
    </row>
    <row r="25">
      <c r="A25" s="11" t="n">
        <v>20</v>
      </c>
      <c r="B25" s="12" t="inlineStr">
        <is>
          <t>Konsentrat</t>
        </is>
      </c>
      <c r="C25" s="32" t="n"/>
      <c r="D25" s="33">
        <f>'Referensi Bahan Baku'!D23</f>
        <v/>
      </c>
      <c r="E25" s="33">
        <f>C25*D25/100</f>
        <v/>
      </c>
      <c r="F25" s="33">
        <f>'Referensi Bahan Baku'!E23</f>
        <v/>
      </c>
      <c r="G25" s="33">
        <f>C25*F25/100</f>
        <v/>
      </c>
      <c r="H25" s="33">
        <f>'Referensi Bahan Baku'!F23</f>
        <v/>
      </c>
      <c r="I25" s="33">
        <f>C25*H25/100</f>
        <v/>
      </c>
      <c r="J25" s="33">
        <f>'Referensi Bahan Baku'!G23</f>
        <v/>
      </c>
      <c r="K25" s="33">
        <f>C25*J25/100</f>
        <v/>
      </c>
      <c r="L25" s="33">
        <f>'Referensi Bahan Baku'!H23</f>
        <v/>
      </c>
      <c r="M25" s="33">
        <f>C25*L25/100</f>
        <v/>
      </c>
      <c r="N25" s="34">
        <f>'Referensi Bahan Baku'!I23</f>
        <v/>
      </c>
      <c r="O25" s="34">
        <f>C25*N25/100</f>
        <v/>
      </c>
      <c r="P25" s="34">
        <f>'Referensi Bahan Baku'!J23</f>
        <v/>
      </c>
      <c r="Q25" s="34">
        <f>C25*P25/100</f>
        <v/>
      </c>
      <c r="R25" s="35">
        <f>'Referensi Bahan Baku'!K23</f>
        <v/>
      </c>
      <c r="S25" s="35">
        <f>IF(ISNUMBER(R25),C25*R25/100,0)</f>
        <v/>
      </c>
      <c r="T25" s="34">
        <f>'Referensi Bahan Baku'!L23</f>
        <v/>
      </c>
      <c r="U25" s="34">
        <f>C25*T25/100</f>
        <v/>
      </c>
      <c r="V25" s="34">
        <f>'Referensi Bahan Baku'!M23</f>
        <v/>
      </c>
      <c r="W25" s="34">
        <f>C25*V25/100</f>
        <v/>
      </c>
      <c r="X25" s="35">
        <f>'Referensi Bahan Baku'!C23</f>
        <v/>
      </c>
      <c r="Y25" s="35">
        <f>C25*X25/100</f>
        <v/>
      </c>
      <c r="Z25" s="33">
        <f>C25/100*$AC$2</f>
        <v/>
      </c>
    </row>
    <row r="26">
      <c r="A26" s="4" t="n">
        <v>21</v>
      </c>
      <c r="B26" s="5" t="inlineStr">
        <is>
          <t>L-Lysin HCl</t>
        </is>
      </c>
      <c r="C26" s="32" t="n">
        <v>0.1</v>
      </c>
      <c r="D26" s="33">
        <f>'Referensi Bahan Baku'!D24</f>
        <v/>
      </c>
      <c r="E26" s="33">
        <f>C26*D26/100</f>
        <v/>
      </c>
      <c r="F26" s="33">
        <f>'Referensi Bahan Baku'!E24</f>
        <v/>
      </c>
      <c r="G26" s="33">
        <f>C26*F26/100</f>
        <v/>
      </c>
      <c r="H26" s="33">
        <f>'Referensi Bahan Baku'!F24</f>
        <v/>
      </c>
      <c r="I26" s="33">
        <f>C26*H26/100</f>
        <v/>
      </c>
      <c r="J26" s="33">
        <f>'Referensi Bahan Baku'!G24</f>
        <v/>
      </c>
      <c r="K26" s="33">
        <f>C26*J26/100</f>
        <v/>
      </c>
      <c r="L26" s="33">
        <f>'Referensi Bahan Baku'!H24</f>
        <v/>
      </c>
      <c r="M26" s="33">
        <f>C26*L26/100</f>
        <v/>
      </c>
      <c r="N26" s="34">
        <f>'Referensi Bahan Baku'!I24</f>
        <v/>
      </c>
      <c r="O26" s="34">
        <f>C26*N26/100</f>
        <v/>
      </c>
      <c r="P26" s="34">
        <f>'Referensi Bahan Baku'!J24</f>
        <v/>
      </c>
      <c r="Q26" s="34">
        <f>C26*P26/100</f>
        <v/>
      </c>
      <c r="R26" s="35">
        <f>'Referensi Bahan Baku'!K24</f>
        <v/>
      </c>
      <c r="S26" s="35">
        <f>IF(ISNUMBER(R26),C26*R26/100,0)</f>
        <v/>
      </c>
      <c r="T26" s="34">
        <f>'Referensi Bahan Baku'!L24</f>
        <v/>
      </c>
      <c r="U26" s="34">
        <f>C26*T26/100</f>
        <v/>
      </c>
      <c r="V26" s="34">
        <f>'Referensi Bahan Baku'!M24</f>
        <v/>
      </c>
      <c r="W26" s="34">
        <f>C26*V26/100</f>
        <v/>
      </c>
      <c r="X26" s="35">
        <f>'Referensi Bahan Baku'!C24</f>
        <v/>
      </c>
      <c r="Y26" s="35">
        <f>C26*X26/100</f>
        <v/>
      </c>
      <c r="Z26" s="33">
        <f>C26/100*$AC$2</f>
        <v/>
      </c>
    </row>
    <row r="27">
      <c r="A27" s="11" t="n">
        <v>22</v>
      </c>
      <c r="B27" s="12" t="inlineStr">
        <is>
          <t>DL-Methionine</t>
        </is>
      </c>
      <c r="C27" s="32" t="n">
        <v>0.1</v>
      </c>
      <c r="D27" s="33">
        <f>'Referensi Bahan Baku'!D25</f>
        <v/>
      </c>
      <c r="E27" s="33">
        <f>C27*D27/100</f>
        <v/>
      </c>
      <c r="F27" s="33">
        <f>'Referensi Bahan Baku'!E25</f>
        <v/>
      </c>
      <c r="G27" s="33">
        <f>C27*F27/100</f>
        <v/>
      </c>
      <c r="H27" s="33">
        <f>'Referensi Bahan Baku'!F25</f>
        <v/>
      </c>
      <c r="I27" s="33">
        <f>C27*H27/100</f>
        <v/>
      </c>
      <c r="J27" s="33">
        <f>'Referensi Bahan Baku'!G25</f>
        <v/>
      </c>
      <c r="K27" s="33">
        <f>C27*J27/100</f>
        <v/>
      </c>
      <c r="L27" s="33">
        <f>'Referensi Bahan Baku'!H25</f>
        <v/>
      </c>
      <c r="M27" s="33">
        <f>C27*L27/100</f>
        <v/>
      </c>
      <c r="N27" s="34">
        <f>'Referensi Bahan Baku'!I25</f>
        <v/>
      </c>
      <c r="O27" s="34">
        <f>C27*N27/100</f>
        <v/>
      </c>
      <c r="P27" s="34">
        <f>'Referensi Bahan Baku'!J25</f>
        <v/>
      </c>
      <c r="Q27" s="34">
        <f>C27*P27/100</f>
        <v/>
      </c>
      <c r="R27" s="35">
        <f>'Referensi Bahan Baku'!K25</f>
        <v/>
      </c>
      <c r="S27" s="35">
        <f>IF(ISNUMBER(R27),C27*R27/100,0)</f>
        <v/>
      </c>
      <c r="T27" s="34">
        <f>'Referensi Bahan Baku'!L25</f>
        <v/>
      </c>
      <c r="U27" s="34">
        <f>C27*T27/100</f>
        <v/>
      </c>
      <c r="V27" s="34">
        <f>'Referensi Bahan Baku'!M25</f>
        <v/>
      </c>
      <c r="W27" s="34">
        <f>C27*V27/100</f>
        <v/>
      </c>
      <c r="X27" s="35">
        <f>'Referensi Bahan Baku'!C25</f>
        <v/>
      </c>
      <c r="Y27" s="35">
        <f>C27*X27/100</f>
        <v/>
      </c>
      <c r="Z27" s="33">
        <f>C27/100*$AC$2</f>
        <v/>
      </c>
    </row>
    <row r="28">
      <c r="A28" s="4" t="n">
        <v>23</v>
      </c>
      <c r="B28" s="5" t="inlineStr">
        <is>
          <t>Threonine</t>
        </is>
      </c>
      <c r="C28" s="32" t="n"/>
      <c r="D28" s="33">
        <f>'Referensi Bahan Baku'!D26</f>
        <v/>
      </c>
      <c r="E28" s="33">
        <f>C28*D28/100</f>
        <v/>
      </c>
      <c r="F28" s="33">
        <f>'Referensi Bahan Baku'!E26</f>
        <v/>
      </c>
      <c r="G28" s="33">
        <f>C28*F28/100</f>
        <v/>
      </c>
      <c r="H28" s="33">
        <f>'Referensi Bahan Baku'!F26</f>
        <v/>
      </c>
      <c r="I28" s="33">
        <f>C28*H28/100</f>
        <v/>
      </c>
      <c r="J28" s="33">
        <f>'Referensi Bahan Baku'!G26</f>
        <v/>
      </c>
      <c r="K28" s="33">
        <f>C28*J28/100</f>
        <v/>
      </c>
      <c r="L28" s="33">
        <f>'Referensi Bahan Baku'!H26</f>
        <v/>
      </c>
      <c r="M28" s="33">
        <f>C28*L28/100</f>
        <v/>
      </c>
      <c r="N28" s="34">
        <f>'Referensi Bahan Baku'!I26</f>
        <v/>
      </c>
      <c r="O28" s="34">
        <f>C28*N28/100</f>
        <v/>
      </c>
      <c r="P28" s="34">
        <f>'Referensi Bahan Baku'!J26</f>
        <v/>
      </c>
      <c r="Q28" s="34">
        <f>C28*P28/100</f>
        <v/>
      </c>
      <c r="R28" s="35">
        <f>'Referensi Bahan Baku'!K26</f>
        <v/>
      </c>
      <c r="S28" s="35">
        <f>IF(ISNUMBER(R28),C28*R28/100,0)</f>
        <v/>
      </c>
      <c r="T28" s="34">
        <f>'Referensi Bahan Baku'!L26</f>
        <v/>
      </c>
      <c r="U28" s="34">
        <f>C28*T28/100</f>
        <v/>
      </c>
      <c r="V28" s="34">
        <f>'Referensi Bahan Baku'!M26</f>
        <v/>
      </c>
      <c r="W28" s="34">
        <f>C28*V28/100</f>
        <v/>
      </c>
      <c r="X28" s="35">
        <f>'Referensi Bahan Baku'!C26</f>
        <v/>
      </c>
      <c r="Y28" s="35">
        <f>C28*X28/100</f>
        <v/>
      </c>
      <c r="Z28" s="33">
        <f>C28/100*$AC$2</f>
        <v/>
      </c>
    </row>
    <row r="29">
      <c r="A29" s="11" t="n">
        <v>24</v>
      </c>
      <c r="B29" s="12" t="inlineStr">
        <is>
          <t>Triptofan</t>
        </is>
      </c>
      <c r="C29" s="32" t="n"/>
      <c r="D29" s="33">
        <f>'Referensi Bahan Baku'!D27</f>
        <v/>
      </c>
      <c r="E29" s="33">
        <f>C29*D29/100</f>
        <v/>
      </c>
      <c r="F29" s="33">
        <f>'Referensi Bahan Baku'!E27</f>
        <v/>
      </c>
      <c r="G29" s="33">
        <f>C29*F29/100</f>
        <v/>
      </c>
      <c r="H29" s="33">
        <f>'Referensi Bahan Baku'!F27</f>
        <v/>
      </c>
      <c r="I29" s="33">
        <f>C29*H29/100</f>
        <v/>
      </c>
      <c r="J29" s="33">
        <f>'Referensi Bahan Baku'!G27</f>
        <v/>
      </c>
      <c r="K29" s="33">
        <f>C29*J29/100</f>
        <v/>
      </c>
      <c r="L29" s="33">
        <f>'Referensi Bahan Baku'!H27</f>
        <v/>
      </c>
      <c r="M29" s="33">
        <f>C29*L29/100</f>
        <v/>
      </c>
      <c r="N29" s="34">
        <f>'Referensi Bahan Baku'!I27</f>
        <v/>
      </c>
      <c r="O29" s="34">
        <f>C29*N29/100</f>
        <v/>
      </c>
      <c r="P29" s="34">
        <f>'Referensi Bahan Baku'!J27</f>
        <v/>
      </c>
      <c r="Q29" s="34">
        <f>C29*P29/100</f>
        <v/>
      </c>
      <c r="R29" s="35">
        <f>'Referensi Bahan Baku'!K27</f>
        <v/>
      </c>
      <c r="S29" s="35">
        <f>IF(ISNUMBER(R29),C29*R29/100,0)</f>
        <v/>
      </c>
      <c r="T29" s="34">
        <f>'Referensi Bahan Baku'!L27</f>
        <v/>
      </c>
      <c r="U29" s="34">
        <f>C29*T29/100</f>
        <v/>
      </c>
      <c r="V29" s="34">
        <f>'Referensi Bahan Baku'!M27</f>
        <v/>
      </c>
      <c r="W29" s="34">
        <f>C29*V29/100</f>
        <v/>
      </c>
      <c r="X29" s="35">
        <f>'Referensi Bahan Baku'!C27</f>
        <v/>
      </c>
      <c r="Y29" s="35">
        <f>C29*X29/100</f>
        <v/>
      </c>
      <c r="Z29" s="33">
        <f>C29/100*$AC$2</f>
        <v/>
      </c>
    </row>
    <row r="30">
      <c r="A30" s="4" t="n">
        <v>25</v>
      </c>
      <c r="B30" s="5" t="inlineStr">
        <is>
          <t>Toxin binder</t>
        </is>
      </c>
      <c r="C30" s="32" t="n">
        <v>0.5</v>
      </c>
      <c r="D30" s="33">
        <f>'Referensi Bahan Baku'!D28</f>
        <v/>
      </c>
      <c r="E30" s="33">
        <f>C30*D30/100</f>
        <v/>
      </c>
      <c r="F30" s="33">
        <f>'Referensi Bahan Baku'!E28</f>
        <v/>
      </c>
      <c r="G30" s="33">
        <f>C30*F30/100</f>
        <v/>
      </c>
      <c r="H30" s="33">
        <f>'Referensi Bahan Baku'!F28</f>
        <v/>
      </c>
      <c r="I30" s="33">
        <f>C30*H30/100</f>
        <v/>
      </c>
      <c r="J30" s="33">
        <f>'Referensi Bahan Baku'!G28</f>
        <v/>
      </c>
      <c r="K30" s="33">
        <f>C30*J30/100</f>
        <v/>
      </c>
      <c r="L30" s="33">
        <f>'Referensi Bahan Baku'!H28</f>
        <v/>
      </c>
      <c r="M30" s="33">
        <f>C30*L30/100</f>
        <v/>
      </c>
      <c r="N30" s="34">
        <f>'Referensi Bahan Baku'!I28</f>
        <v/>
      </c>
      <c r="O30" s="34">
        <f>C30*N30/100</f>
        <v/>
      </c>
      <c r="P30" s="34">
        <f>'Referensi Bahan Baku'!J28</f>
        <v/>
      </c>
      <c r="Q30" s="34">
        <f>C30*P30/100</f>
        <v/>
      </c>
      <c r="R30" s="35">
        <f>'Referensi Bahan Baku'!K28</f>
        <v/>
      </c>
      <c r="S30" s="35">
        <f>IF(ISNUMBER(R30),C30*R30/100,0)</f>
        <v/>
      </c>
      <c r="T30" s="34">
        <f>'Referensi Bahan Baku'!L28</f>
        <v/>
      </c>
      <c r="U30" s="34">
        <f>C30*T30/100</f>
        <v/>
      </c>
      <c r="V30" s="34">
        <f>'Referensi Bahan Baku'!M28</f>
        <v/>
      </c>
      <c r="W30" s="34">
        <f>C30*V30/100</f>
        <v/>
      </c>
      <c r="X30" s="35">
        <f>'Referensi Bahan Baku'!C28</f>
        <v/>
      </c>
      <c r="Y30" s="35">
        <f>C30*X30/100</f>
        <v/>
      </c>
      <c r="Z30" s="33">
        <f>C30/100*$AC$2</f>
        <v/>
      </c>
    </row>
    <row r="31">
      <c r="A31" s="11" t="n">
        <v>26</v>
      </c>
      <c r="B31" s="12" t="inlineStr">
        <is>
          <t>Enzim Fitase</t>
        </is>
      </c>
      <c r="C31" s="32" t="n">
        <v>0.2</v>
      </c>
      <c r="D31" s="33">
        <f>'Referensi Bahan Baku'!D29</f>
        <v/>
      </c>
      <c r="E31" s="33">
        <f>C31*D31/100</f>
        <v/>
      </c>
      <c r="F31" s="33">
        <f>'Referensi Bahan Baku'!E29</f>
        <v/>
      </c>
      <c r="G31" s="33">
        <f>C31*F31/100</f>
        <v/>
      </c>
      <c r="H31" s="33">
        <f>'Referensi Bahan Baku'!F29</f>
        <v/>
      </c>
      <c r="I31" s="33">
        <f>C31*H31/100</f>
        <v/>
      </c>
      <c r="J31" s="33">
        <f>'Referensi Bahan Baku'!G29</f>
        <v/>
      </c>
      <c r="K31" s="33">
        <f>C31*J31/100</f>
        <v/>
      </c>
      <c r="L31" s="33">
        <f>'Referensi Bahan Baku'!H29</f>
        <v/>
      </c>
      <c r="M31" s="33">
        <f>C31*L31/100</f>
        <v/>
      </c>
      <c r="N31" s="34">
        <f>'Referensi Bahan Baku'!I29</f>
        <v/>
      </c>
      <c r="O31" s="34">
        <f>C31*N31/100</f>
        <v/>
      </c>
      <c r="P31" s="34">
        <f>'Referensi Bahan Baku'!J29</f>
        <v/>
      </c>
      <c r="Q31" s="34">
        <f>C31*P31/100</f>
        <v/>
      </c>
      <c r="R31" s="35">
        <f>'Referensi Bahan Baku'!K29</f>
        <v/>
      </c>
      <c r="S31" s="35">
        <f>IF(ISNUMBER(R31),C31*R31/100,0)</f>
        <v/>
      </c>
      <c r="T31" s="34">
        <f>'Referensi Bahan Baku'!L29</f>
        <v/>
      </c>
      <c r="U31" s="34">
        <f>C31*T31/100</f>
        <v/>
      </c>
      <c r="V31" s="34">
        <f>'Referensi Bahan Baku'!M29</f>
        <v/>
      </c>
      <c r="W31" s="34">
        <f>C31*V31/100</f>
        <v/>
      </c>
      <c r="X31" s="35">
        <f>'Referensi Bahan Baku'!C29</f>
        <v/>
      </c>
      <c r="Y31" s="35">
        <f>C31*X31/100</f>
        <v/>
      </c>
      <c r="Z31" s="33">
        <f>C31/100*$AC$2</f>
        <v/>
      </c>
    </row>
    <row r="32">
      <c r="A32" s="4" t="n">
        <v>27</v>
      </c>
      <c r="B32" s="5" t="inlineStr">
        <is>
          <t>Enzim NSP</t>
        </is>
      </c>
      <c r="C32" s="32" t="n"/>
      <c r="D32" s="33">
        <f>'Referensi Bahan Baku'!D30</f>
        <v/>
      </c>
      <c r="E32" s="33">
        <f>C32*D32/100</f>
        <v/>
      </c>
      <c r="F32" s="33">
        <f>'Referensi Bahan Baku'!E30</f>
        <v/>
      </c>
      <c r="G32" s="33">
        <f>C32*F32/100</f>
        <v/>
      </c>
      <c r="H32" s="33">
        <f>'Referensi Bahan Baku'!F30</f>
        <v/>
      </c>
      <c r="I32" s="33">
        <f>C32*H32/100</f>
        <v/>
      </c>
      <c r="J32" s="33">
        <f>'Referensi Bahan Baku'!G30</f>
        <v/>
      </c>
      <c r="K32" s="33">
        <f>C32*J32/100</f>
        <v/>
      </c>
      <c r="L32" s="33">
        <f>'Referensi Bahan Baku'!H30</f>
        <v/>
      </c>
      <c r="M32" s="33">
        <f>C32*L32/100</f>
        <v/>
      </c>
      <c r="N32" s="34">
        <f>'Referensi Bahan Baku'!I30</f>
        <v/>
      </c>
      <c r="O32" s="34">
        <f>C32*N32/100</f>
        <v/>
      </c>
      <c r="P32" s="34">
        <f>'Referensi Bahan Baku'!J30</f>
        <v/>
      </c>
      <c r="Q32" s="34">
        <f>C32*P32/100</f>
        <v/>
      </c>
      <c r="R32" s="35">
        <f>'Referensi Bahan Baku'!K30</f>
        <v/>
      </c>
      <c r="S32" s="35">
        <f>IF(ISNUMBER(R32),C32*R32/100,0)</f>
        <v/>
      </c>
      <c r="T32" s="34">
        <f>'Referensi Bahan Baku'!L30</f>
        <v/>
      </c>
      <c r="U32" s="34">
        <f>C32*T32/100</f>
        <v/>
      </c>
      <c r="V32" s="34">
        <f>'Referensi Bahan Baku'!M30</f>
        <v/>
      </c>
      <c r="W32" s="34">
        <f>C32*V32/100</f>
        <v/>
      </c>
      <c r="X32" s="35">
        <f>'Referensi Bahan Baku'!C30</f>
        <v/>
      </c>
      <c r="Y32" s="35">
        <f>C32*X32/100</f>
        <v/>
      </c>
      <c r="Z32" s="33">
        <f>C32/100*$AC$2</f>
        <v/>
      </c>
    </row>
    <row r="33" ht="20" customHeight="1">
      <c r="A33" s="21" t="inlineStr">
        <is>
          <t>TOTAL</t>
        </is>
      </c>
      <c r="B33" s="36" t="n"/>
      <c r="C33" s="37">
        <f>SUM(C6:C32)</f>
        <v/>
      </c>
      <c r="D33" s="21" t="inlineStr">
        <is>
          <t>—</t>
        </is>
      </c>
      <c r="E33" s="37">
        <f>SUM(E6:E32)</f>
        <v/>
      </c>
      <c r="F33" s="21" t="inlineStr">
        <is>
          <t>—</t>
        </is>
      </c>
      <c r="G33" s="37">
        <f>SUM(G6:G32)</f>
        <v/>
      </c>
      <c r="H33" s="21" t="inlineStr">
        <is>
          <t>—</t>
        </is>
      </c>
      <c r="I33" s="37">
        <f>SUM(I6:I32)</f>
        <v/>
      </c>
      <c r="J33" s="21" t="inlineStr">
        <is>
          <t>—</t>
        </is>
      </c>
      <c r="K33" s="37">
        <f>SUM(K6:K32)</f>
        <v/>
      </c>
      <c r="L33" s="21" t="inlineStr">
        <is>
          <t>—</t>
        </is>
      </c>
      <c r="M33" s="37">
        <f>SUM(M6:M32)</f>
        <v/>
      </c>
      <c r="N33" s="21" t="inlineStr">
        <is>
          <t>—</t>
        </is>
      </c>
      <c r="O33" s="38">
        <f>SUM(O6:O32)</f>
        <v/>
      </c>
      <c r="P33" s="21" t="inlineStr">
        <is>
          <t>—</t>
        </is>
      </c>
      <c r="Q33" s="38">
        <f>SUM(Q6:Q32)</f>
        <v/>
      </c>
      <c r="R33" s="21" t="inlineStr">
        <is>
          <t>—</t>
        </is>
      </c>
      <c r="S33" s="39">
        <f>SUM(S6:S32)</f>
        <v/>
      </c>
      <c r="T33" s="21" t="inlineStr">
        <is>
          <t>—</t>
        </is>
      </c>
      <c r="U33" s="38">
        <f>SUM(U6:U32)</f>
        <v/>
      </c>
      <c r="V33" s="21" t="inlineStr">
        <is>
          <t>—</t>
        </is>
      </c>
      <c r="W33" s="38">
        <f>SUM(W6:W32)</f>
        <v/>
      </c>
      <c r="X33" s="40" t="inlineStr">
        <is>
          <t>Harga Pokok →</t>
        </is>
      </c>
      <c r="Y33" s="39">
        <f>SUM(Y6:Y32)</f>
        <v/>
      </c>
      <c r="Z33" s="37">
        <f>SUM(Z6:Z32)</f>
        <v/>
      </c>
    </row>
    <row r="35" ht="20" customHeight="1">
      <c r="A35" s="41" t="inlineStr">
        <is>
          <t>BATAS &amp; TARGET NUTRISI — STANDAR BROILER STARTER (SNI 01-3931 / NRC)</t>
        </is>
      </c>
    </row>
    <row r="36" ht="36" customHeight="1">
      <c r="A36" s="3" t="inlineStr">
        <is>
          <t>Label</t>
        </is>
      </c>
      <c r="B36" s="3" t="inlineStr">
        <is>
          <t>Keterangan</t>
        </is>
      </c>
      <c r="C36" s="3" t="inlineStr">
        <is>
          <t>Total
Proporsi (%)</t>
        </is>
      </c>
      <c r="E36" s="3" t="inlineStr">
        <is>
          <t>Protein
Kasar (%)</t>
        </is>
      </c>
      <c r="G36" s="3" t="inlineStr">
        <is>
          <t>Lemak
Kasar (%)</t>
        </is>
      </c>
      <c r="I36" s="3" t="inlineStr">
        <is>
          <t>Serat
Kasar (%)</t>
        </is>
      </c>
      <c r="K36" s="3" t="inlineStr">
        <is>
          <t>Abu (%)</t>
        </is>
      </c>
      <c r="M36" s="3" t="inlineStr">
        <is>
          <t>Kalsium/Ca
(%)</t>
        </is>
      </c>
      <c r="O36" s="3" t="inlineStr">
        <is>
          <t>Fosfor tsd
(%)</t>
        </is>
      </c>
      <c r="Q36" s="3" t="inlineStr">
        <is>
          <t>Kadar Air
(%)</t>
        </is>
      </c>
      <c r="S36" s="3" t="inlineStr">
        <is>
          <t>ME
(kcal/kg)</t>
        </is>
      </c>
      <c r="U36" s="3" t="inlineStr">
        <is>
          <t>Lisin
(%)</t>
        </is>
      </c>
      <c r="W36" s="3" t="inlineStr">
        <is>
          <t>Metionin
(%)</t>
        </is>
      </c>
      <c r="Y36" s="3" t="inlineStr">
        <is>
          <t>Harga Pokok
(Rp/kg)</t>
        </is>
      </c>
    </row>
    <row r="37" ht="18" customHeight="1">
      <c r="A37" s="18" t="inlineStr">
        <is>
          <t>AKTUAL</t>
        </is>
      </c>
      <c r="B37" s="42" t="inlineStr">
        <is>
          <t>(dari formula di atas)</t>
        </is>
      </c>
      <c r="C37" s="43">
        <f>C33</f>
        <v/>
      </c>
      <c r="E37" s="44">
        <f>G33</f>
        <v/>
      </c>
      <c r="G37" s="44">
        <f>I33</f>
        <v/>
      </c>
      <c r="I37" s="44">
        <f>K33</f>
        <v/>
      </c>
      <c r="K37" s="44">
        <f>M33</f>
        <v/>
      </c>
      <c r="M37" s="45">
        <f>O33</f>
        <v/>
      </c>
      <c r="O37" s="45">
        <f>Q33</f>
        <v/>
      </c>
      <c r="Q37" s="44">
        <f>E33</f>
        <v/>
      </c>
      <c r="S37" s="46">
        <f>S33</f>
        <v/>
      </c>
      <c r="U37" s="45">
        <f>U33</f>
        <v/>
      </c>
      <c r="W37" s="45">
        <f>W33</f>
        <v/>
      </c>
      <c r="Y37" s="46">
        <f>Y33</f>
        <v/>
      </c>
    </row>
    <row r="38" ht="18" customHeight="1">
      <c r="A38" s="27" t="inlineStr">
        <is>
          <t>TARGET MIN</t>
        </is>
      </c>
      <c r="B38" s="25" t="inlineStr">
        <is>
          <t>Standar min SNI/NRC →</t>
        </is>
      </c>
      <c r="C38" s="32" t="n">
        <v>100</v>
      </c>
      <c r="E38" s="47" t="n">
        <v>21</v>
      </c>
      <c r="G38" s="47" t="n">
        <v>5</v>
      </c>
      <c r="I38" s="47" t="n"/>
      <c r="K38" s="47" t="n"/>
      <c r="M38" s="48" t="n">
        <v>0.9</v>
      </c>
      <c r="O38" s="48" t="n">
        <v>0.45</v>
      </c>
      <c r="Q38" s="47" t="n"/>
      <c r="S38" s="28" t="n">
        <v>2900</v>
      </c>
      <c r="U38" s="48" t="n">
        <v>1</v>
      </c>
      <c r="W38" s="48" t="n">
        <v>0.4</v>
      </c>
      <c r="Y38" s="28" t="n"/>
    </row>
    <row r="39" ht="18" customHeight="1">
      <c r="A39" s="23" t="inlineStr">
        <is>
          <t>TARGET MAX</t>
        </is>
      </c>
      <c r="B39" s="49" t="inlineStr">
        <is>
          <t>Standar maks SNI/NRC →</t>
        </is>
      </c>
      <c r="C39" s="50" t="n">
        <v>100</v>
      </c>
      <c r="E39" s="51" t="n"/>
      <c r="G39" s="51" t="n"/>
      <c r="I39" s="51" t="n">
        <v>6</v>
      </c>
      <c r="K39" s="51" t="n">
        <v>8</v>
      </c>
      <c r="M39" s="52" t="n">
        <v>1.2</v>
      </c>
      <c r="O39" s="52" t="n"/>
      <c r="Q39" s="51" t="n">
        <v>14</v>
      </c>
      <c r="S39" s="53" t="n"/>
      <c r="U39" s="52" t="n"/>
      <c r="W39" s="52" t="n"/>
      <c r="Y39" s="53" t="n"/>
    </row>
    <row r="40" ht="18" customHeight="1">
      <c r="A40" s="54" t="inlineStr">
        <is>
          <t>STATUS</t>
        </is>
      </c>
      <c r="B40" s="42" t="inlineStr">
        <is>
          <t>Cek otomatis</t>
        </is>
      </c>
      <c r="C40" s="18">
        <f>IF(AND(C37&gt;=C38,C37&lt;=C39),"✅ OK","⚠️ KURANG")</f>
        <v/>
      </c>
      <c r="E40" s="18">
        <f>IF(E37&gt;=E38,"✅ OK","⚠️ KURANG")</f>
        <v/>
      </c>
      <c r="G40" s="18">
        <f>IF(G37&gt;=G38,"✅ OK","⚠️ KURANG")</f>
        <v/>
      </c>
      <c r="I40" s="18">
        <f>IF(I37&lt;=I39,"✅ OK","⚠️ KURANG")</f>
        <v/>
      </c>
      <c r="K40" s="18">
        <f>IF(K37&lt;=K39,"✅ OK","⚠️ KURANG")</f>
        <v/>
      </c>
      <c r="M40" s="18">
        <f>IF(AND(M37&gt;=M38,M37&lt;=M39),"✅ OK","⚠️ KURANG")</f>
        <v/>
      </c>
      <c r="O40" s="18">
        <f>IF(O37&gt;=O38,"✅ OK","⚠️ KURANG")</f>
        <v/>
      </c>
      <c r="Q40" s="18">
        <f>IF(Q37&lt;=Q39,"✅ OK","⚠️ KURANG")</f>
        <v/>
      </c>
      <c r="S40" s="18">
        <f>IF(S37&gt;=S38,"✅ OK","⚠️ KURANG")</f>
        <v/>
      </c>
      <c r="U40" s="18">
        <f>IF(U37&gt;=U38,"✅ OK","⚠️ KURANG")</f>
        <v/>
      </c>
      <c r="W40" s="18">
        <f>IF(W37&gt;=W38,"✅ OK","⚠️ KURANG")</f>
        <v/>
      </c>
    </row>
    <row r="42" ht="28" customHeight="1">
      <c r="A42" s="55" t="inlineStr">
        <is>
          <t>💡 CARA PAKAI: Ubah Proporsi (%) di Kolom C → nutrisi &amp; biaya otomatis terhitung. Isi Total Batch (kg) di AC2 → Kolom Z = kebutuhan bahan per batch. Edit nilai nutrisi / harga di sheet 'Referensi Bahan Baku' → langsung update ke sini. Pastikan Total Proporsi = 100%.</t>
        </is>
      </c>
    </row>
    <row r="43">
      <c r="A43" s="42" t="inlineStr">
        <is>
          <t>⚡ KOLOM ORANGE = Kamu yang isi  |  KOLOM HIJAU = Otomatis terhitung  |  TOTAL ROW = Cek keseluruhan  |  STATUS ✅ = memenuhi standar  |  ⚠️ = perlu penyesuaian</t>
        </is>
      </c>
    </row>
  </sheetData>
  <mergeCells count="6">
    <mergeCell ref="A42:Z42"/>
    <mergeCell ref="A2:Y2"/>
    <mergeCell ref="A1:Z1"/>
    <mergeCell ref="A33:B33"/>
    <mergeCell ref="A35:Z35"/>
    <mergeCell ref="A43:Z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LEMBAR PERBANDINGAN FORMULA PAKAN AYAM — PPBIB</t>
        </is>
      </c>
    </row>
    <row r="2" ht="38" customHeight="1">
      <c r="A2" s="3" t="inlineStr">
        <is>
          <t>No</t>
        </is>
      </c>
      <c r="B2" s="3" t="inlineStr">
        <is>
          <t>Nama Bahan</t>
        </is>
      </c>
      <c r="C2" s="3" t="inlineStr">
        <is>
          <t>Harga/kg
(Rp)</t>
        </is>
      </c>
      <c r="D2" s="3" t="inlineStr">
        <is>
          <t>Protein
(%)</t>
        </is>
      </c>
      <c r="E2" s="3" t="inlineStr">
        <is>
          <t>Formula A
Proporsi (%)
⬅ auto Builder</t>
        </is>
      </c>
      <c r="F2" s="3" t="inlineStr">
        <is>
          <t>Formula A
Kontrib
Protein</t>
        </is>
      </c>
      <c r="G2" s="3" t="inlineStr">
        <is>
          <t>Formula B
Proporsi (%)
(isi manual)</t>
        </is>
      </c>
      <c r="H2" s="3" t="inlineStr">
        <is>
          <t>Formula B
Kontrib
Protein</t>
        </is>
      </c>
      <c r="I2" s="3" t="inlineStr">
        <is>
          <t>Selisih
Proporsi</t>
        </is>
      </c>
    </row>
    <row r="3">
      <c r="A3" s="4" t="n">
        <v>1</v>
      </c>
      <c r="B3" s="5">
        <f>'Referensi Bahan Baku'!B4</f>
        <v/>
      </c>
      <c r="C3" s="9">
        <f>'Referensi Bahan Baku'!C4</f>
        <v/>
      </c>
      <c r="D3" s="7">
        <f>'Referensi Bahan Baku'!E4</f>
        <v/>
      </c>
      <c r="E3" s="56">
        <f>'Formula Builder'!C6</f>
        <v/>
      </c>
      <c r="F3" s="33">
        <f>E3*D3/100</f>
        <v/>
      </c>
      <c r="G3" s="57" t="n"/>
      <c r="H3" s="33">
        <f>G3*D3/100</f>
        <v/>
      </c>
      <c r="I3" s="56">
        <f>G3-E3</f>
        <v/>
      </c>
    </row>
    <row r="4">
      <c r="A4" s="11" t="n">
        <v>2</v>
      </c>
      <c r="B4" s="12">
        <f>'Referensi Bahan Baku'!B5</f>
        <v/>
      </c>
      <c r="C4" s="15">
        <f>'Referensi Bahan Baku'!C5</f>
        <v/>
      </c>
      <c r="D4" s="13">
        <f>'Referensi Bahan Baku'!E5</f>
        <v/>
      </c>
      <c r="E4" s="56">
        <f>'Formula Builder'!C7</f>
        <v/>
      </c>
      <c r="F4" s="33">
        <f>E4*D4/100</f>
        <v/>
      </c>
      <c r="G4" s="57" t="n"/>
      <c r="H4" s="33">
        <f>G4*D4/100</f>
        <v/>
      </c>
      <c r="I4" s="56">
        <f>G4-E4</f>
        <v/>
      </c>
    </row>
    <row r="5">
      <c r="A5" s="4" t="n">
        <v>3</v>
      </c>
      <c r="B5" s="5">
        <f>'Referensi Bahan Baku'!B6</f>
        <v/>
      </c>
      <c r="C5" s="9">
        <f>'Referensi Bahan Baku'!C6</f>
        <v/>
      </c>
      <c r="D5" s="7">
        <f>'Referensi Bahan Baku'!E6</f>
        <v/>
      </c>
      <c r="E5" s="56">
        <f>'Formula Builder'!C8</f>
        <v/>
      </c>
      <c r="F5" s="33">
        <f>E5*D5/100</f>
        <v/>
      </c>
      <c r="G5" s="57" t="n"/>
      <c r="H5" s="33">
        <f>G5*D5/100</f>
        <v/>
      </c>
      <c r="I5" s="56">
        <f>G5-E5</f>
        <v/>
      </c>
    </row>
    <row r="6">
      <c r="A6" s="11" t="n">
        <v>4</v>
      </c>
      <c r="B6" s="12">
        <f>'Referensi Bahan Baku'!B7</f>
        <v/>
      </c>
      <c r="C6" s="15">
        <f>'Referensi Bahan Baku'!C7</f>
        <v/>
      </c>
      <c r="D6" s="13">
        <f>'Referensi Bahan Baku'!E7</f>
        <v/>
      </c>
      <c r="E6" s="56">
        <f>'Formula Builder'!C9</f>
        <v/>
      </c>
      <c r="F6" s="33">
        <f>E6*D6/100</f>
        <v/>
      </c>
      <c r="G6" s="57" t="n"/>
      <c r="H6" s="33">
        <f>G6*D6/100</f>
        <v/>
      </c>
      <c r="I6" s="56">
        <f>G6-E6</f>
        <v/>
      </c>
    </row>
    <row r="7">
      <c r="A7" s="4" t="n">
        <v>5</v>
      </c>
      <c r="B7" s="5">
        <f>'Referensi Bahan Baku'!B8</f>
        <v/>
      </c>
      <c r="C7" s="9">
        <f>'Referensi Bahan Baku'!C8</f>
        <v/>
      </c>
      <c r="D7" s="7">
        <f>'Referensi Bahan Baku'!E8</f>
        <v/>
      </c>
      <c r="E7" s="56">
        <f>'Formula Builder'!C10</f>
        <v/>
      </c>
      <c r="F7" s="33">
        <f>E7*D7/100</f>
        <v/>
      </c>
      <c r="G7" s="57" t="n"/>
      <c r="H7" s="33">
        <f>G7*D7/100</f>
        <v/>
      </c>
      <c r="I7" s="56">
        <f>G7-E7</f>
        <v/>
      </c>
    </row>
    <row r="8">
      <c r="A8" s="11" t="n">
        <v>6</v>
      </c>
      <c r="B8" s="12">
        <f>'Referensi Bahan Baku'!B9</f>
        <v/>
      </c>
      <c r="C8" s="15">
        <f>'Referensi Bahan Baku'!C9</f>
        <v/>
      </c>
      <c r="D8" s="13">
        <f>'Referensi Bahan Baku'!E9</f>
        <v/>
      </c>
      <c r="E8" s="56">
        <f>'Formula Builder'!C11</f>
        <v/>
      </c>
      <c r="F8" s="33">
        <f>E8*D8/100</f>
        <v/>
      </c>
      <c r="G8" s="57" t="n"/>
      <c r="H8" s="33">
        <f>G8*D8/100</f>
        <v/>
      </c>
      <c r="I8" s="56">
        <f>G8-E8</f>
        <v/>
      </c>
    </row>
    <row r="9">
      <c r="A9" s="4" t="n">
        <v>7</v>
      </c>
      <c r="B9" s="5">
        <f>'Referensi Bahan Baku'!B10</f>
        <v/>
      </c>
      <c r="C9" s="9">
        <f>'Referensi Bahan Baku'!C10</f>
        <v/>
      </c>
      <c r="D9" s="7">
        <f>'Referensi Bahan Baku'!E10</f>
        <v/>
      </c>
      <c r="E9" s="56">
        <f>'Formula Builder'!C12</f>
        <v/>
      </c>
      <c r="F9" s="33">
        <f>E9*D9/100</f>
        <v/>
      </c>
      <c r="G9" s="57" t="n"/>
      <c r="H9" s="33">
        <f>G9*D9/100</f>
        <v/>
      </c>
      <c r="I9" s="56">
        <f>G9-E9</f>
        <v/>
      </c>
    </row>
    <row r="10">
      <c r="A10" s="11" t="n">
        <v>8</v>
      </c>
      <c r="B10" s="12">
        <f>'Referensi Bahan Baku'!B11</f>
        <v/>
      </c>
      <c r="C10" s="15">
        <f>'Referensi Bahan Baku'!C11</f>
        <v/>
      </c>
      <c r="D10" s="13">
        <f>'Referensi Bahan Baku'!E11</f>
        <v/>
      </c>
      <c r="E10" s="56">
        <f>'Formula Builder'!C13</f>
        <v/>
      </c>
      <c r="F10" s="33">
        <f>E10*D10/100</f>
        <v/>
      </c>
      <c r="G10" s="57" t="n"/>
      <c r="H10" s="33">
        <f>G10*D10/100</f>
        <v/>
      </c>
      <c r="I10" s="56">
        <f>G10-E10</f>
        <v/>
      </c>
    </row>
    <row r="11">
      <c r="A11" s="4" t="n">
        <v>9</v>
      </c>
      <c r="B11" s="5">
        <f>'Referensi Bahan Baku'!B12</f>
        <v/>
      </c>
      <c r="C11" s="9">
        <f>'Referensi Bahan Baku'!C12</f>
        <v/>
      </c>
      <c r="D11" s="7">
        <f>'Referensi Bahan Baku'!E12</f>
        <v/>
      </c>
      <c r="E11" s="56">
        <f>'Formula Builder'!C14</f>
        <v/>
      </c>
      <c r="F11" s="33">
        <f>E11*D11/100</f>
        <v/>
      </c>
      <c r="G11" s="57" t="n"/>
      <c r="H11" s="33">
        <f>G11*D11/100</f>
        <v/>
      </c>
      <c r="I11" s="56">
        <f>G11-E11</f>
        <v/>
      </c>
    </row>
    <row r="12">
      <c r="A12" s="11" t="n">
        <v>10</v>
      </c>
      <c r="B12" s="12">
        <f>'Referensi Bahan Baku'!B13</f>
        <v/>
      </c>
      <c r="C12" s="15">
        <f>'Referensi Bahan Baku'!C13</f>
        <v/>
      </c>
      <c r="D12" s="13">
        <f>'Referensi Bahan Baku'!E13</f>
        <v/>
      </c>
      <c r="E12" s="56">
        <f>'Formula Builder'!C15</f>
        <v/>
      </c>
      <c r="F12" s="33">
        <f>E12*D12/100</f>
        <v/>
      </c>
      <c r="G12" s="57" t="n"/>
      <c r="H12" s="33">
        <f>G12*D12/100</f>
        <v/>
      </c>
      <c r="I12" s="56">
        <f>G12-E12</f>
        <v/>
      </c>
    </row>
    <row r="13">
      <c r="A13" s="4" t="n">
        <v>11</v>
      </c>
      <c r="B13" s="5">
        <f>'Referensi Bahan Baku'!B14</f>
        <v/>
      </c>
      <c r="C13" s="9">
        <f>'Referensi Bahan Baku'!C14</f>
        <v/>
      </c>
      <c r="D13" s="7">
        <f>'Referensi Bahan Baku'!E14</f>
        <v/>
      </c>
      <c r="E13" s="56">
        <f>'Formula Builder'!C16</f>
        <v/>
      </c>
      <c r="F13" s="33">
        <f>E13*D13/100</f>
        <v/>
      </c>
      <c r="G13" s="57" t="n"/>
      <c r="H13" s="33">
        <f>G13*D13/100</f>
        <v/>
      </c>
      <c r="I13" s="56">
        <f>G13-E13</f>
        <v/>
      </c>
    </row>
    <row r="14">
      <c r="A14" s="11" t="n">
        <v>12</v>
      </c>
      <c r="B14" s="12">
        <f>'Referensi Bahan Baku'!B15</f>
        <v/>
      </c>
      <c r="C14" s="15">
        <f>'Referensi Bahan Baku'!C15</f>
        <v/>
      </c>
      <c r="D14" s="13">
        <f>'Referensi Bahan Baku'!E15</f>
        <v/>
      </c>
      <c r="E14" s="56">
        <f>'Formula Builder'!C17</f>
        <v/>
      </c>
      <c r="F14" s="33">
        <f>E14*D14/100</f>
        <v/>
      </c>
      <c r="G14" s="57" t="n"/>
      <c r="H14" s="33">
        <f>G14*D14/100</f>
        <v/>
      </c>
      <c r="I14" s="56">
        <f>G14-E14</f>
        <v/>
      </c>
    </row>
    <row r="15">
      <c r="A15" s="4" t="n">
        <v>13</v>
      </c>
      <c r="B15" s="5">
        <f>'Referensi Bahan Baku'!B16</f>
        <v/>
      </c>
      <c r="C15" s="9">
        <f>'Referensi Bahan Baku'!C16</f>
        <v/>
      </c>
      <c r="D15" s="7">
        <f>'Referensi Bahan Baku'!E16</f>
        <v/>
      </c>
      <c r="E15" s="56">
        <f>'Formula Builder'!C18</f>
        <v/>
      </c>
      <c r="F15" s="33">
        <f>E15*D15/100</f>
        <v/>
      </c>
      <c r="G15" s="57" t="n"/>
      <c r="H15" s="33">
        <f>G15*D15/100</f>
        <v/>
      </c>
      <c r="I15" s="56">
        <f>G15-E15</f>
        <v/>
      </c>
    </row>
    <row r="16">
      <c r="A16" s="11" t="n">
        <v>14</v>
      </c>
      <c r="B16" s="12">
        <f>'Referensi Bahan Baku'!B17</f>
        <v/>
      </c>
      <c r="C16" s="15">
        <f>'Referensi Bahan Baku'!C17</f>
        <v/>
      </c>
      <c r="D16" s="13">
        <f>'Referensi Bahan Baku'!E17</f>
        <v/>
      </c>
      <c r="E16" s="56">
        <f>'Formula Builder'!C19</f>
        <v/>
      </c>
      <c r="F16" s="33">
        <f>E16*D16/100</f>
        <v/>
      </c>
      <c r="G16" s="57" t="n"/>
      <c r="H16" s="33">
        <f>G16*D16/100</f>
        <v/>
      </c>
      <c r="I16" s="56">
        <f>G16-E16</f>
        <v/>
      </c>
    </row>
    <row r="17">
      <c r="A17" s="4" t="n">
        <v>15</v>
      </c>
      <c r="B17" s="5">
        <f>'Referensi Bahan Baku'!B18</f>
        <v/>
      </c>
      <c r="C17" s="9">
        <f>'Referensi Bahan Baku'!C18</f>
        <v/>
      </c>
      <c r="D17" s="7">
        <f>'Referensi Bahan Baku'!E18</f>
        <v/>
      </c>
      <c r="E17" s="56">
        <f>'Formula Builder'!C20</f>
        <v/>
      </c>
      <c r="F17" s="33">
        <f>E17*D17/100</f>
        <v/>
      </c>
      <c r="G17" s="57" t="n"/>
      <c r="H17" s="33">
        <f>G17*D17/100</f>
        <v/>
      </c>
      <c r="I17" s="56">
        <f>G17-E17</f>
        <v/>
      </c>
    </row>
    <row r="18">
      <c r="A18" s="11" t="n">
        <v>16</v>
      </c>
      <c r="B18" s="12">
        <f>'Referensi Bahan Baku'!B19</f>
        <v/>
      </c>
      <c r="C18" s="15">
        <f>'Referensi Bahan Baku'!C19</f>
        <v/>
      </c>
      <c r="D18" s="13">
        <f>'Referensi Bahan Baku'!E19</f>
        <v/>
      </c>
      <c r="E18" s="56">
        <f>'Formula Builder'!C21</f>
        <v/>
      </c>
      <c r="F18" s="33">
        <f>E18*D18/100</f>
        <v/>
      </c>
      <c r="G18" s="57" t="n"/>
      <c r="H18" s="33">
        <f>G18*D18/100</f>
        <v/>
      </c>
      <c r="I18" s="56">
        <f>G18-E18</f>
        <v/>
      </c>
    </row>
    <row r="19">
      <c r="A19" s="4" t="n">
        <v>17</v>
      </c>
      <c r="B19" s="5">
        <f>'Referensi Bahan Baku'!B20</f>
        <v/>
      </c>
      <c r="C19" s="9">
        <f>'Referensi Bahan Baku'!C20</f>
        <v/>
      </c>
      <c r="D19" s="7">
        <f>'Referensi Bahan Baku'!E20</f>
        <v/>
      </c>
      <c r="E19" s="56">
        <f>'Formula Builder'!C22</f>
        <v/>
      </c>
      <c r="F19" s="33">
        <f>E19*D19/100</f>
        <v/>
      </c>
      <c r="G19" s="57" t="n"/>
      <c r="H19" s="33">
        <f>G19*D19/100</f>
        <v/>
      </c>
      <c r="I19" s="56">
        <f>G19-E19</f>
        <v/>
      </c>
    </row>
    <row r="20">
      <c r="A20" s="11" t="n">
        <v>18</v>
      </c>
      <c r="B20" s="12">
        <f>'Referensi Bahan Baku'!B21</f>
        <v/>
      </c>
      <c r="C20" s="15">
        <f>'Referensi Bahan Baku'!C21</f>
        <v/>
      </c>
      <c r="D20" s="13">
        <f>'Referensi Bahan Baku'!E21</f>
        <v/>
      </c>
      <c r="E20" s="56">
        <f>'Formula Builder'!C23</f>
        <v/>
      </c>
      <c r="F20" s="33">
        <f>E20*D20/100</f>
        <v/>
      </c>
      <c r="G20" s="57" t="n"/>
      <c r="H20" s="33">
        <f>G20*D20/100</f>
        <v/>
      </c>
      <c r="I20" s="56">
        <f>G20-E20</f>
        <v/>
      </c>
    </row>
    <row r="21">
      <c r="A21" s="4" t="n">
        <v>19</v>
      </c>
      <c r="B21" s="5">
        <f>'Referensi Bahan Baku'!B22</f>
        <v/>
      </c>
      <c r="C21" s="9">
        <f>'Referensi Bahan Baku'!C22</f>
        <v/>
      </c>
      <c r="D21" s="7">
        <f>'Referensi Bahan Baku'!E22</f>
        <v/>
      </c>
      <c r="E21" s="56">
        <f>'Formula Builder'!C24</f>
        <v/>
      </c>
      <c r="F21" s="33">
        <f>E21*D21/100</f>
        <v/>
      </c>
      <c r="G21" s="57" t="n"/>
      <c r="H21" s="33">
        <f>G21*D21/100</f>
        <v/>
      </c>
      <c r="I21" s="56">
        <f>G21-E21</f>
        <v/>
      </c>
    </row>
    <row r="22">
      <c r="A22" s="11" t="n">
        <v>20</v>
      </c>
      <c r="B22" s="12">
        <f>'Referensi Bahan Baku'!B23</f>
        <v/>
      </c>
      <c r="C22" s="15">
        <f>'Referensi Bahan Baku'!C23</f>
        <v/>
      </c>
      <c r="D22" s="13">
        <f>'Referensi Bahan Baku'!E23</f>
        <v/>
      </c>
      <c r="E22" s="56">
        <f>'Formula Builder'!C25</f>
        <v/>
      </c>
      <c r="F22" s="33">
        <f>E22*D22/100</f>
        <v/>
      </c>
      <c r="G22" s="57" t="n"/>
      <c r="H22" s="33">
        <f>G22*D22/100</f>
        <v/>
      </c>
      <c r="I22" s="56">
        <f>G22-E22</f>
        <v/>
      </c>
    </row>
    <row r="23">
      <c r="A23" s="4" t="n">
        <v>21</v>
      </c>
      <c r="B23" s="5">
        <f>'Referensi Bahan Baku'!B24</f>
        <v/>
      </c>
      <c r="C23" s="9">
        <f>'Referensi Bahan Baku'!C24</f>
        <v/>
      </c>
      <c r="D23" s="7">
        <f>'Referensi Bahan Baku'!E24</f>
        <v/>
      </c>
      <c r="E23" s="56">
        <f>'Formula Builder'!C26</f>
        <v/>
      </c>
      <c r="F23" s="33">
        <f>E23*D23/100</f>
        <v/>
      </c>
      <c r="G23" s="57" t="n"/>
      <c r="H23" s="33">
        <f>G23*D23/100</f>
        <v/>
      </c>
      <c r="I23" s="56">
        <f>G23-E23</f>
        <v/>
      </c>
    </row>
    <row r="24">
      <c r="A24" s="11" t="n">
        <v>22</v>
      </c>
      <c r="B24" s="12">
        <f>'Referensi Bahan Baku'!B25</f>
        <v/>
      </c>
      <c r="C24" s="15">
        <f>'Referensi Bahan Baku'!C25</f>
        <v/>
      </c>
      <c r="D24" s="13">
        <f>'Referensi Bahan Baku'!E25</f>
        <v/>
      </c>
      <c r="E24" s="56">
        <f>'Formula Builder'!C27</f>
        <v/>
      </c>
      <c r="F24" s="33">
        <f>E24*D24/100</f>
        <v/>
      </c>
      <c r="G24" s="57" t="n"/>
      <c r="H24" s="33">
        <f>G24*D24/100</f>
        <v/>
      </c>
      <c r="I24" s="56">
        <f>G24-E24</f>
        <v/>
      </c>
    </row>
    <row r="25">
      <c r="A25" s="4" t="n">
        <v>23</v>
      </c>
      <c r="B25" s="5">
        <f>'Referensi Bahan Baku'!B26</f>
        <v/>
      </c>
      <c r="C25" s="9">
        <f>'Referensi Bahan Baku'!C26</f>
        <v/>
      </c>
      <c r="D25" s="7">
        <f>'Referensi Bahan Baku'!E26</f>
        <v/>
      </c>
      <c r="E25" s="56">
        <f>'Formula Builder'!C28</f>
        <v/>
      </c>
      <c r="F25" s="33">
        <f>E25*D25/100</f>
        <v/>
      </c>
      <c r="G25" s="57" t="n"/>
      <c r="H25" s="33">
        <f>G25*D25/100</f>
        <v/>
      </c>
      <c r="I25" s="56">
        <f>G25-E25</f>
        <v/>
      </c>
    </row>
    <row r="26">
      <c r="A26" s="11" t="n">
        <v>24</v>
      </c>
      <c r="B26" s="12">
        <f>'Referensi Bahan Baku'!B27</f>
        <v/>
      </c>
      <c r="C26" s="15">
        <f>'Referensi Bahan Baku'!C27</f>
        <v/>
      </c>
      <c r="D26" s="13">
        <f>'Referensi Bahan Baku'!E27</f>
        <v/>
      </c>
      <c r="E26" s="56">
        <f>'Formula Builder'!C29</f>
        <v/>
      </c>
      <c r="F26" s="33">
        <f>E26*D26/100</f>
        <v/>
      </c>
      <c r="G26" s="57" t="n"/>
      <c r="H26" s="33">
        <f>G26*D26/100</f>
        <v/>
      </c>
      <c r="I26" s="56">
        <f>G26-E26</f>
        <v/>
      </c>
    </row>
    <row r="27">
      <c r="A27" s="4" t="n">
        <v>25</v>
      </c>
      <c r="B27" s="5">
        <f>'Referensi Bahan Baku'!B28</f>
        <v/>
      </c>
      <c r="C27" s="9">
        <f>'Referensi Bahan Baku'!C28</f>
        <v/>
      </c>
      <c r="D27" s="7">
        <f>'Referensi Bahan Baku'!E28</f>
        <v/>
      </c>
      <c r="E27" s="56">
        <f>'Formula Builder'!C30</f>
        <v/>
      </c>
      <c r="F27" s="33">
        <f>E27*D27/100</f>
        <v/>
      </c>
      <c r="G27" s="57" t="n"/>
      <c r="H27" s="33">
        <f>G27*D27/100</f>
        <v/>
      </c>
      <c r="I27" s="56">
        <f>G27-E27</f>
        <v/>
      </c>
    </row>
    <row r="28">
      <c r="A28" s="11" t="n">
        <v>26</v>
      </c>
      <c r="B28" s="12">
        <f>'Referensi Bahan Baku'!B29</f>
        <v/>
      </c>
      <c r="C28" s="15">
        <f>'Referensi Bahan Baku'!C29</f>
        <v/>
      </c>
      <c r="D28" s="13">
        <f>'Referensi Bahan Baku'!E29</f>
        <v/>
      </c>
      <c r="E28" s="56">
        <f>'Formula Builder'!C31</f>
        <v/>
      </c>
      <c r="F28" s="33">
        <f>E28*D28/100</f>
        <v/>
      </c>
      <c r="G28" s="57" t="n"/>
      <c r="H28" s="33">
        <f>G28*D28/100</f>
        <v/>
      </c>
      <c r="I28" s="56">
        <f>G28-E28</f>
        <v/>
      </c>
    </row>
    <row r="29">
      <c r="A29" s="4" t="n">
        <v>27</v>
      </c>
      <c r="B29" s="5">
        <f>'Referensi Bahan Baku'!B30</f>
        <v/>
      </c>
      <c r="C29" s="9">
        <f>'Referensi Bahan Baku'!C30</f>
        <v/>
      </c>
      <c r="D29" s="7">
        <f>'Referensi Bahan Baku'!E30</f>
        <v/>
      </c>
      <c r="E29" s="56">
        <f>'Formula Builder'!C32</f>
        <v/>
      </c>
      <c r="F29" s="33">
        <f>E29*D29/100</f>
        <v/>
      </c>
      <c r="G29" s="57" t="n"/>
      <c r="H29" s="33">
        <f>G29*D29/100</f>
        <v/>
      </c>
      <c r="I29" s="56">
        <f>G29-E29</f>
        <v/>
      </c>
    </row>
    <row r="30">
      <c r="A30" s="21" t="inlineStr">
        <is>
          <t>TOTAL</t>
        </is>
      </c>
      <c r="C30" s="58" t="inlineStr">
        <is>
          <t>Harga Pokok →</t>
        </is>
      </c>
      <c r="E30" s="37">
        <f>SUM(E3:E29)</f>
        <v/>
      </c>
      <c r="F30" s="37">
        <f>SUM(F3:F29)</f>
        <v/>
      </c>
      <c r="G30" s="37">
        <f>SUM(G3:G29)</f>
        <v/>
      </c>
      <c r="H30" s="37">
        <f>SUM(H3:H29)</f>
        <v/>
      </c>
      <c r="I30" s="37">
        <f>SUM(I3:I29)</f>
        <v/>
      </c>
    </row>
    <row r="32">
      <c r="A32" s="41" t="inlineStr">
        <is>
          <t>📊  RINGKASAN OTOMATIS — FORMULA A vs FORMULA B</t>
        </is>
      </c>
    </row>
    <row r="33" ht="22" customHeight="1">
      <c r="A33" s="3" t="inlineStr">
        <is>
          <t>Nutrisi</t>
        </is>
      </c>
      <c r="E33" s="3" t="inlineStr">
        <is>
          <t>Formula A</t>
        </is>
      </c>
      <c r="G33" s="3" t="inlineStr">
        <is>
          <t>Formula B</t>
        </is>
      </c>
      <c r="I33" s="3" t="inlineStr">
        <is>
          <t>Selisih (A−B)</t>
        </is>
      </c>
    </row>
    <row r="34">
      <c r="A34" s="5" t="inlineStr">
        <is>
          <t>Total Proporsi (%)</t>
        </is>
      </c>
      <c r="E34" s="56">
        <f>SUM(E3:E29)</f>
        <v/>
      </c>
      <c r="G34" s="56">
        <f>SUM(G3:G29)</f>
        <v/>
      </c>
      <c r="I34" s="59">
        <f>E34-G34</f>
        <v/>
      </c>
    </row>
    <row r="35">
      <c r="A35" s="12" t="inlineStr">
        <is>
          <t>Protein Kasar (%)</t>
        </is>
      </c>
      <c r="E35" s="33">
        <f>SUMPRODUCT(E3:E29,'Referensi Bahan Baku'!E4:E30)/100</f>
        <v/>
      </c>
      <c r="G35" s="33">
        <f>SUMPRODUCT(G3:G29,'Referensi Bahan Baku'!E4:E30)/100</f>
        <v/>
      </c>
      <c r="I35" s="13">
        <f>E35-G35</f>
        <v/>
      </c>
    </row>
    <row r="36">
      <c r="A36" s="5" t="inlineStr">
        <is>
          <t>Lemak Kasar (%)</t>
        </is>
      </c>
      <c r="E36" s="33">
        <f>SUMPRODUCT(E3:E29,'Referensi Bahan Baku'!F4:F30)/100</f>
        <v/>
      </c>
      <c r="G36" s="33">
        <f>SUMPRODUCT(G3:G29,'Referensi Bahan Baku'!F4:F30)/100</f>
        <v/>
      </c>
      <c r="I36" s="7">
        <f>E36-G36</f>
        <v/>
      </c>
    </row>
    <row r="37">
      <c r="A37" s="12" t="inlineStr">
        <is>
          <t>Serat Kasar (%)</t>
        </is>
      </c>
      <c r="E37" s="33">
        <f>SUMPRODUCT(E3:E29,'Referensi Bahan Baku'!G4:G30)/100</f>
        <v/>
      </c>
      <c r="G37" s="33">
        <f>SUMPRODUCT(G3:G29,'Referensi Bahan Baku'!G4:G30)/100</f>
        <v/>
      </c>
      <c r="I37" s="13">
        <f>E37-G37</f>
        <v/>
      </c>
    </row>
    <row r="38">
      <c r="A38" s="5" t="inlineStr">
        <is>
          <t>Abu (%)</t>
        </is>
      </c>
      <c r="E38" s="33">
        <f>SUMPRODUCT(E3:E29,'Referensi Bahan Baku'!H4:H30)/100</f>
        <v/>
      </c>
      <c r="G38" s="33">
        <f>SUMPRODUCT(G3:G29,'Referensi Bahan Baku'!H4:H30)/100</f>
        <v/>
      </c>
      <c r="I38" s="7">
        <f>E38-G38</f>
        <v/>
      </c>
    </row>
    <row r="39">
      <c r="A39" s="12" t="inlineStr">
        <is>
          <t>Kalsium/Ca (%)</t>
        </is>
      </c>
      <c r="E39" s="34">
        <f>SUMPRODUCT(E3:E29,'Referensi Bahan Baku'!I4:I30)/100</f>
        <v/>
      </c>
      <c r="G39" s="34">
        <f>SUMPRODUCT(G3:G29,'Referensi Bahan Baku'!I4:I30)/100</f>
        <v/>
      </c>
      <c r="I39" s="14">
        <f>E39-G39</f>
        <v/>
      </c>
    </row>
    <row r="40">
      <c r="A40" s="5" t="inlineStr">
        <is>
          <t>Fosfor tersedia (%)</t>
        </is>
      </c>
      <c r="E40" s="34">
        <f>SUMPRODUCT(E3:E29,'Referensi Bahan Baku'!J4:J30)/100</f>
        <v/>
      </c>
      <c r="G40" s="34">
        <f>SUMPRODUCT(G3:G29,'Referensi Bahan Baku'!J4:J30)/100</f>
        <v/>
      </c>
      <c r="I40" s="8">
        <f>E40-G40</f>
        <v/>
      </c>
    </row>
    <row r="41">
      <c r="A41" s="12" t="inlineStr">
        <is>
          <t>Kadar Air (%)</t>
        </is>
      </c>
      <c r="E41" s="33">
        <f>SUMPRODUCT(E3:E29,'Referensi Bahan Baku'!D4:D30)/100</f>
        <v/>
      </c>
      <c r="G41" s="33">
        <f>SUMPRODUCT(G3:G29,'Referensi Bahan Baku'!D4:D30)/100</f>
        <v/>
      </c>
      <c r="I41" s="13">
        <f>E41-G41</f>
        <v/>
      </c>
    </row>
    <row r="42">
      <c r="A42" s="5" t="inlineStr">
        <is>
          <t>ME (kcal/kg)</t>
        </is>
      </c>
      <c r="E42" s="35">
        <f>SUMPRODUCT(E3:E29,IF(ISNUMBER('Referensi Bahan Baku'!K4:K30),'Referensi Bahan Baku'!K4:K30,0))/100</f>
        <v/>
      </c>
      <c r="G42" s="35">
        <f>SUMPRODUCT(G3:G29,IF(ISNUMBER('Referensi Bahan Baku'!K4:K30),'Referensi Bahan Baku'!K4:K30,0))/100</f>
        <v/>
      </c>
      <c r="I42" s="9">
        <f>E42-G42</f>
        <v/>
      </c>
    </row>
    <row r="43">
      <c r="A43" s="12" t="inlineStr">
        <is>
          <t>Lisin (%)</t>
        </is>
      </c>
      <c r="E43" s="34">
        <f>SUMPRODUCT(E3:E29,'Referensi Bahan Baku'!L4:L30)/100</f>
        <v/>
      </c>
      <c r="G43" s="34">
        <f>SUMPRODUCT(G3:G29,'Referensi Bahan Baku'!L4:L30)/100</f>
        <v/>
      </c>
      <c r="I43" s="14">
        <f>E43-G43</f>
        <v/>
      </c>
    </row>
    <row r="44">
      <c r="A44" s="5" t="inlineStr">
        <is>
          <t>Metionin (%)</t>
        </is>
      </c>
      <c r="E44" s="34">
        <f>SUMPRODUCT(E3:E29,'Referensi Bahan Baku'!M4:M30)/100</f>
        <v/>
      </c>
      <c r="G44" s="34">
        <f>SUMPRODUCT(G3:G29,'Referensi Bahan Baku'!M4:M30)/100</f>
        <v/>
      </c>
      <c r="I44" s="8">
        <f>E44-G44</f>
        <v/>
      </c>
    </row>
    <row r="45">
      <c r="A45" s="12" t="inlineStr">
        <is>
          <t>Harga Pokok (Rp/kg)</t>
        </is>
      </c>
      <c r="E45" s="35">
        <f>SUMPRODUCT(E3:E29,C3:C29)/100</f>
        <v/>
      </c>
      <c r="G45" s="35">
        <f>SUMPRODUCT(G3:G29,C3:C29)/100</f>
        <v/>
      </c>
      <c r="I45" s="15">
        <f>E45-G45</f>
        <v/>
      </c>
    </row>
    <row r="47">
      <c r="A47" s="55" t="inlineStr">
        <is>
          <t>💡 Formula A = otomatis dari sheet 'Formula Builder'. Formula B = isi manual di Kolom G untuk membandingkan alternatif formulasi.</t>
        </is>
      </c>
    </row>
  </sheetData>
  <mergeCells count="4">
    <mergeCell ref="A1:I1"/>
    <mergeCell ref="A32:I32"/>
    <mergeCell ref="A30:B30"/>
    <mergeCell ref="A47:I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2026-06-06T00:11:40Z</dcterms:created>
  <dcterms:modified xsi:type="dcterms:W3CDTF">2026-06-06T00:11:40Z</dcterms:modified>
</cp:coreProperties>
</file>